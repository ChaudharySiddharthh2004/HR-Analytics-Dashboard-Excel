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ulh\Downloads\"/>
    </mc:Choice>
  </mc:AlternateContent>
  <xr:revisionPtr revIDLastSave="0" documentId="13_ncr:1_{EC5439EC-27A3-4F29-85D2-EDE89D65B618}" xr6:coauthVersionLast="47" xr6:coauthVersionMax="47" xr10:uidLastSave="{00000000-0000-0000-0000-000000000000}"/>
  <bookViews>
    <workbookView xWindow="-108" yWindow="-108" windowWidth="23256" windowHeight="13176" activeTab="4" xr2:uid="{00000000-000D-0000-FFFF-FFFF00000000}"/>
  </bookViews>
  <sheets>
    <sheet name="About" sheetId="8" r:id="rId1"/>
    <sheet name="Employee Details" sheetId="7" r:id="rId2"/>
    <sheet name="Salary Analysis" sheetId="6" r:id="rId3"/>
    <sheet name="Pivot Tables" sheetId="4" r:id="rId4"/>
    <sheet name="Data" sheetId="1" r:id="rId5"/>
    <sheet name="Department" sheetId="5" r:id="rId6"/>
    <sheet name="Overview" sheetId="3" r:id="rId7"/>
  </sheets>
  <definedNames>
    <definedName name="NativeTimeline_Joining_Date">#N/A</definedName>
    <definedName name="Slicer_City">#N/A</definedName>
    <definedName name="Slicer_Department">#N/A</definedName>
    <definedName name="Slicer_Employment_Type">#N/A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B13" i="4" l="1"/>
  <c r="C8" i="4"/>
  <c r="C7" i="4"/>
  <c r="B4" i="4"/>
  <c r="B16" i="4"/>
</calcChain>
</file>

<file path=xl/sharedStrings.xml><?xml version="1.0" encoding="utf-8"?>
<sst xmlns="http://schemas.openxmlformats.org/spreadsheetml/2006/main" count="3073" uniqueCount="153">
  <si>
    <t>Employee ID</t>
  </si>
  <si>
    <t>Employee Name</t>
  </si>
  <si>
    <t>Gender</t>
  </si>
  <si>
    <t>Age</t>
  </si>
  <si>
    <t>Department</t>
  </si>
  <si>
    <t>Job Role</t>
  </si>
  <si>
    <t>Salary</t>
  </si>
  <si>
    <t>Experience (Years)</t>
  </si>
  <si>
    <t>Joining Date</t>
  </si>
  <si>
    <t>City</t>
  </si>
  <si>
    <t>Employment Type</t>
  </si>
  <si>
    <t>Vihaan Sharma</t>
  </si>
  <si>
    <t>Female</t>
  </si>
  <si>
    <t>Operations</t>
  </si>
  <si>
    <t>Operations Executive</t>
  </si>
  <si>
    <t>Pune</t>
  </si>
  <si>
    <t>Full-Time</t>
  </si>
  <si>
    <t>Pooja Sharma</t>
  </si>
  <si>
    <t>Male</t>
  </si>
  <si>
    <t>Marketing</t>
  </si>
  <si>
    <t>Marketing Executive</t>
  </si>
  <si>
    <t>Bengaluru</t>
  </si>
  <si>
    <t>Contract</t>
  </si>
  <si>
    <t>Karan Kumar</t>
  </si>
  <si>
    <t>IT</t>
  </si>
  <si>
    <t>Data Analyst</t>
  </si>
  <si>
    <t>Noida</t>
  </si>
  <si>
    <t>Finance</t>
  </si>
  <si>
    <t>Accountant</t>
  </si>
  <si>
    <t>Hyderabad</t>
  </si>
  <si>
    <t>Ananya Sharma</t>
  </si>
  <si>
    <t>Gurgaon</t>
  </si>
  <si>
    <t>Amit Verma</t>
  </si>
  <si>
    <t>Sai Kumar</t>
  </si>
  <si>
    <t>Rahul Sharma</t>
  </si>
  <si>
    <t>Rohit Gupta</t>
  </si>
  <si>
    <t>Riya Gupta</t>
  </si>
  <si>
    <t>Delhi</t>
  </si>
  <si>
    <t>Sai Gupta</t>
  </si>
  <si>
    <t>Vihaan Kumar</t>
  </si>
  <si>
    <t>Siddharth Sharma</t>
  </si>
  <si>
    <t>Aditya Sharma</t>
  </si>
  <si>
    <t>Mumbai</t>
  </si>
  <si>
    <t>Siddharth Kumar</t>
  </si>
  <si>
    <t>Siddharth Gupta</t>
  </si>
  <si>
    <t>Sales</t>
  </si>
  <si>
    <t>Sales Executive</t>
  </si>
  <si>
    <t>Diya Sharma</t>
  </si>
  <si>
    <t>Rohit Verma</t>
  </si>
  <si>
    <t>Pooja Singh</t>
  </si>
  <si>
    <t>Neha Singh</t>
  </si>
  <si>
    <t>HR</t>
  </si>
  <si>
    <t>HR Executive</t>
  </si>
  <si>
    <t>Pooja Gupta</t>
  </si>
  <si>
    <t>Karan Singh</t>
  </si>
  <si>
    <t>Kabir Sharma</t>
  </si>
  <si>
    <t>Riya Kumar</t>
  </si>
  <si>
    <t>Sneha Gupta</t>
  </si>
  <si>
    <t>Amit Sharma</t>
  </si>
  <si>
    <t>Meera Singh</t>
  </si>
  <si>
    <t>Kabir Verma</t>
  </si>
  <si>
    <t>Pooja Kumar</t>
  </si>
  <si>
    <t>Meera Verma</t>
  </si>
  <si>
    <t>Vihaan Singh</t>
  </si>
  <si>
    <t>Rahul Gupta</t>
  </si>
  <si>
    <t>Ananya Gupta</t>
  </si>
  <si>
    <t>Aditya Singh</t>
  </si>
  <si>
    <t>Priya Sharma</t>
  </si>
  <si>
    <t>Riya Verma</t>
  </si>
  <si>
    <t>Riya Singh</t>
  </si>
  <si>
    <t>Karan Gupta</t>
  </si>
  <si>
    <t>Diya Singh</t>
  </si>
  <si>
    <t>Pooja Verma</t>
  </si>
  <si>
    <t>Priya Verma</t>
  </si>
  <si>
    <t>Priya Singh</t>
  </si>
  <si>
    <t>Neha Gupta</t>
  </si>
  <si>
    <t>Sai Sharma</t>
  </si>
  <si>
    <t>Vivaan Sharma</t>
  </si>
  <si>
    <t>Siddharth Singh</t>
  </si>
  <si>
    <t>Karan Verma</t>
  </si>
  <si>
    <t>Sneha Sharma</t>
  </si>
  <si>
    <t>Aarav Kumar</t>
  </si>
  <si>
    <t>Aditya Gupta</t>
  </si>
  <si>
    <t>Aditya Kumar</t>
  </si>
  <si>
    <t>Priya Kumar</t>
  </si>
  <si>
    <t>Rohit Sharma</t>
  </si>
  <si>
    <t>Neha Kumar</t>
  </si>
  <si>
    <t>Karan Sharma</t>
  </si>
  <si>
    <t>Vihaan Verma</t>
  </si>
  <si>
    <t>Rahul Kumar</t>
  </si>
  <si>
    <t>Vivaan Verma</t>
  </si>
  <si>
    <t>Arjun Sharma</t>
  </si>
  <si>
    <t>Meera Gupta</t>
  </si>
  <si>
    <t>Amit Singh</t>
  </si>
  <si>
    <t>Sneha Singh</t>
  </si>
  <si>
    <t>Kabir Singh</t>
  </si>
  <si>
    <t>Arjun Kumar</t>
  </si>
  <si>
    <t>Vihaan Gupta</t>
  </si>
  <si>
    <t>Ananya Kumar</t>
  </si>
  <si>
    <t>Ananya Verma</t>
  </si>
  <si>
    <t>Riya Sharma</t>
  </si>
  <si>
    <t>Aarav Sharma</t>
  </si>
  <si>
    <t>Vivaan Kumar</t>
  </si>
  <si>
    <t>Sai Singh</t>
  </si>
  <si>
    <t>Rahul Verma</t>
  </si>
  <si>
    <t>Arjun Verma</t>
  </si>
  <si>
    <t>Kabir Gupta</t>
  </si>
  <si>
    <t>Diya Gupta</t>
  </si>
  <si>
    <t>Diya Verma</t>
  </si>
  <si>
    <t>Aditya Verma</t>
  </si>
  <si>
    <t>Vivaan Singh</t>
  </si>
  <si>
    <t>Arjun Singh</t>
  </si>
  <si>
    <t>Meera Sharma</t>
  </si>
  <si>
    <t>Vivaan Gupta</t>
  </si>
  <si>
    <t>Kabir Kumar</t>
  </si>
  <si>
    <t>Sai Verma</t>
  </si>
  <si>
    <t>Arjun Gupta</t>
  </si>
  <si>
    <t>Ananya Singh</t>
  </si>
  <si>
    <t>Aarav Singh</t>
  </si>
  <si>
    <t>Meera Kumar</t>
  </si>
  <si>
    <t>Amit Gupta</t>
  </si>
  <si>
    <t>Priya Gupta</t>
  </si>
  <si>
    <t>Sneha Verma</t>
  </si>
  <si>
    <t>Neha Sharma</t>
  </si>
  <si>
    <t>Aarav Verma</t>
  </si>
  <si>
    <t>Amit Kumar</t>
  </si>
  <si>
    <t>Siddharth Verma</t>
  </si>
  <si>
    <t>Rohit Kumar</t>
  </si>
  <si>
    <t>Diya Kumar</t>
  </si>
  <si>
    <t>Aarav Gupta</t>
  </si>
  <si>
    <t>Rahul Singh</t>
  </si>
  <si>
    <t>Neha Verma</t>
  </si>
  <si>
    <t>Rohit Singh</t>
  </si>
  <si>
    <t>Sneha Kumar</t>
  </si>
  <si>
    <t>Row Labels</t>
  </si>
  <si>
    <t>Grand Total</t>
  </si>
  <si>
    <t>Count of Employee ID</t>
  </si>
  <si>
    <t>Average of Salary</t>
  </si>
  <si>
    <t>Average of Experience (Years)</t>
  </si>
  <si>
    <t>Employees by dept</t>
  </si>
  <si>
    <t>Gender Distribution</t>
  </si>
  <si>
    <t>AVG salary by dept</t>
  </si>
  <si>
    <t>Employee by job role</t>
  </si>
  <si>
    <t>Employee joined by year</t>
  </si>
  <si>
    <t>2018</t>
  </si>
  <si>
    <t>2019</t>
  </si>
  <si>
    <t>2020</t>
  </si>
  <si>
    <t>2021</t>
  </si>
  <si>
    <t>2022</t>
  </si>
  <si>
    <t>2023</t>
  </si>
  <si>
    <t>2024</t>
  </si>
  <si>
    <t>2025</t>
  </si>
  <si>
    <t>Employees by employment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</si>
</sst>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
    <numFmt numFmtId="166" formatCode="0.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0" fillId="2" borderId="1" xfId="0"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colors>
    <mruColors>
      <color rgb="FFE0EF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Tables!PivotTable5</c:name>
    <c:fmtId val="2"/>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Tables'!$A$20:$A$26</c:f>
              <c:strCache>
                <c:ptCount val="6"/>
                <c:pt idx="0">
                  <c:v>Finance</c:v>
                </c:pt>
                <c:pt idx="1">
                  <c:v>HR</c:v>
                </c:pt>
                <c:pt idx="2">
                  <c:v>IT</c:v>
                </c:pt>
                <c:pt idx="3">
                  <c:v>Marketing</c:v>
                </c:pt>
                <c:pt idx="4">
                  <c:v>Operations</c:v>
                </c:pt>
                <c:pt idx="5">
                  <c:v>Sales</c:v>
                </c:pt>
              </c:strCache>
            </c:strRef>
          </c:cat>
          <c:val>
            <c:numRef>
              <c:f>'Pivot Tables'!$B$20:$B$26</c:f>
              <c:numCache>
                <c:formatCode>General</c:formatCode>
                <c:ptCount val="6"/>
                <c:pt idx="0">
                  <c:v>77</c:v>
                </c:pt>
                <c:pt idx="1">
                  <c:v>77</c:v>
                </c:pt>
                <c:pt idx="2">
                  <c:v>81</c:v>
                </c:pt>
                <c:pt idx="3">
                  <c:v>86</c:v>
                </c:pt>
                <c:pt idx="4">
                  <c:v>99</c:v>
                </c:pt>
                <c:pt idx="5">
                  <c:v>80</c:v>
                </c:pt>
              </c:numCache>
            </c:numRef>
          </c:val>
          <c:extLst>
            <c:ext xmlns:c16="http://schemas.microsoft.com/office/drawing/2014/chart" uri="{C3380CC4-5D6E-409C-BE32-E72D297353CC}">
              <c16:uniqueId val="{00000000-E2B6-41E7-AC1E-13C739E74002}"/>
            </c:ext>
          </c:extLst>
        </c:ser>
        <c:dLbls>
          <c:showLegendKey val="0"/>
          <c:showVal val="0"/>
          <c:showCatName val="0"/>
          <c:showSerName val="0"/>
          <c:showPercent val="0"/>
          <c:showBubbleSize val="0"/>
        </c:dLbls>
        <c:gapWidth val="219"/>
        <c:overlap val="-27"/>
        <c:axId val="658923400"/>
        <c:axId val="658929160"/>
      </c:barChart>
      <c:catAx>
        <c:axId val="65892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29160"/>
        <c:crosses val="autoZero"/>
        <c:auto val="1"/>
        <c:lblAlgn val="ctr"/>
        <c:lblOffset val="100"/>
        <c:noMultiLvlLbl val="0"/>
      </c:catAx>
      <c:valAx>
        <c:axId val="658929160"/>
        <c:scaling>
          <c:orientation val="minMax"/>
        </c:scaling>
        <c:delete val="1"/>
        <c:axPos val="l"/>
        <c:numFmt formatCode="General" sourceLinked="1"/>
        <c:majorTickMark val="none"/>
        <c:minorTickMark val="none"/>
        <c:tickLblPos val="nextTo"/>
        <c:crossAx val="658923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64-4B64-8B1A-CEB821995ABD}"/>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DFCD-4E3F-9E26-B519EE3E8B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Tables'!$A$31:$A$33</c:f>
              <c:strCache>
                <c:ptCount val="2"/>
                <c:pt idx="0">
                  <c:v>Female</c:v>
                </c:pt>
                <c:pt idx="1">
                  <c:v>Male</c:v>
                </c:pt>
              </c:strCache>
            </c:strRef>
          </c:cat>
          <c:val>
            <c:numRef>
              <c:f>'Pivot Tables'!$B$31:$B$33</c:f>
              <c:numCache>
                <c:formatCode>General</c:formatCode>
                <c:ptCount val="2"/>
                <c:pt idx="0">
                  <c:v>272</c:v>
                </c:pt>
                <c:pt idx="1">
                  <c:v>228</c:v>
                </c:pt>
              </c:numCache>
            </c:numRef>
          </c:val>
          <c:extLst>
            <c:ext xmlns:c16="http://schemas.microsoft.com/office/drawing/2014/chart" uri="{C3380CC4-5D6E-409C-BE32-E72D297353CC}">
              <c16:uniqueId val="{00000000-DFCD-4E3F-9E26-B519EE3E8B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Tables!PivotTable7</c:name>
    <c:fmtId val="3"/>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Tables'!$A$39:$A$45</c:f>
              <c:strCache>
                <c:ptCount val="6"/>
                <c:pt idx="0">
                  <c:v>Finance</c:v>
                </c:pt>
                <c:pt idx="1">
                  <c:v>HR</c:v>
                </c:pt>
                <c:pt idx="2">
                  <c:v>IT</c:v>
                </c:pt>
                <c:pt idx="3">
                  <c:v>Marketing</c:v>
                </c:pt>
                <c:pt idx="4">
                  <c:v>Operations</c:v>
                </c:pt>
                <c:pt idx="5">
                  <c:v>Sales</c:v>
                </c:pt>
              </c:strCache>
            </c:strRef>
          </c:cat>
          <c:val>
            <c:numRef>
              <c:f>'Pivot Tables'!$B$39:$B$45</c:f>
              <c:numCache>
                <c:formatCode>"₹"\ #,##0</c:formatCode>
                <c:ptCount val="6"/>
                <c:pt idx="0">
                  <c:v>69530.103896103901</c:v>
                </c:pt>
                <c:pt idx="1">
                  <c:v>68694.506493506487</c:v>
                </c:pt>
                <c:pt idx="2">
                  <c:v>69826.456790123455</c:v>
                </c:pt>
                <c:pt idx="3">
                  <c:v>70573.988372093023</c:v>
                </c:pt>
                <c:pt idx="4">
                  <c:v>72683.686868686869</c:v>
                </c:pt>
                <c:pt idx="5">
                  <c:v>71046.862500000003</c:v>
                </c:pt>
              </c:numCache>
            </c:numRef>
          </c:val>
          <c:extLst>
            <c:ext xmlns:c16="http://schemas.microsoft.com/office/drawing/2014/chart" uri="{C3380CC4-5D6E-409C-BE32-E72D297353CC}">
              <c16:uniqueId val="{00000000-CFC9-44A8-BD0B-3C37EDFD1931}"/>
            </c:ext>
          </c:extLst>
        </c:ser>
        <c:dLbls>
          <c:showLegendKey val="0"/>
          <c:showVal val="0"/>
          <c:showCatName val="0"/>
          <c:showSerName val="0"/>
          <c:showPercent val="0"/>
          <c:showBubbleSize val="0"/>
        </c:dLbls>
        <c:gapWidth val="182"/>
        <c:axId val="677585432"/>
        <c:axId val="677595152"/>
      </c:barChart>
      <c:catAx>
        <c:axId val="677585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95152"/>
        <c:crosses val="autoZero"/>
        <c:auto val="1"/>
        <c:lblAlgn val="ctr"/>
        <c:lblOffset val="100"/>
        <c:noMultiLvlLbl val="0"/>
      </c:catAx>
      <c:valAx>
        <c:axId val="677595152"/>
        <c:scaling>
          <c:orientation val="minMax"/>
        </c:scaling>
        <c:delete val="1"/>
        <c:axPos val="b"/>
        <c:numFmt formatCode="&quot;₹&quot;\ #,##0" sourceLinked="1"/>
        <c:majorTickMark val="none"/>
        <c:minorTickMark val="none"/>
        <c:tickLblPos val="nextTo"/>
        <c:crossAx val="677585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Tables'!$B$66</c:f>
              <c:strCache>
                <c:ptCount val="1"/>
                <c:pt idx="0">
                  <c:v>Total</c:v>
                </c:pt>
              </c:strCache>
            </c:strRef>
          </c:tx>
          <c:spPr>
            <a:ln w="28575" cap="rnd">
              <a:solidFill>
                <a:schemeClr val="accent1"/>
              </a:solidFill>
              <a:round/>
            </a:ln>
            <a:effectLst/>
          </c:spPr>
          <c:marker>
            <c:symbol val="none"/>
          </c:marker>
          <c:cat>
            <c:strRef>
              <c:f>'Pivot Tables'!$A$67:$A$75</c:f>
              <c:strCache>
                <c:ptCount val="8"/>
                <c:pt idx="0">
                  <c:v>2018</c:v>
                </c:pt>
                <c:pt idx="1">
                  <c:v>2019</c:v>
                </c:pt>
                <c:pt idx="2">
                  <c:v>2020</c:v>
                </c:pt>
                <c:pt idx="3">
                  <c:v>2021</c:v>
                </c:pt>
                <c:pt idx="4">
                  <c:v>2022</c:v>
                </c:pt>
                <c:pt idx="5">
                  <c:v>2023</c:v>
                </c:pt>
                <c:pt idx="6">
                  <c:v>2024</c:v>
                </c:pt>
                <c:pt idx="7">
                  <c:v>2025</c:v>
                </c:pt>
              </c:strCache>
            </c:strRef>
          </c:cat>
          <c:val>
            <c:numRef>
              <c:f>'Pivot Tables'!$B$67:$B$75</c:f>
              <c:numCache>
                <c:formatCode>General</c:formatCode>
                <c:ptCount val="8"/>
                <c:pt idx="0">
                  <c:v>60</c:v>
                </c:pt>
                <c:pt idx="1">
                  <c:v>64</c:v>
                </c:pt>
                <c:pt idx="2">
                  <c:v>64</c:v>
                </c:pt>
                <c:pt idx="3">
                  <c:v>64</c:v>
                </c:pt>
                <c:pt idx="4">
                  <c:v>68</c:v>
                </c:pt>
                <c:pt idx="5">
                  <c:v>60</c:v>
                </c:pt>
                <c:pt idx="6">
                  <c:v>63</c:v>
                </c:pt>
                <c:pt idx="7">
                  <c:v>57</c:v>
                </c:pt>
              </c:numCache>
            </c:numRef>
          </c:val>
          <c:smooth val="0"/>
          <c:extLst>
            <c:ext xmlns:c16="http://schemas.microsoft.com/office/drawing/2014/chart" uri="{C3380CC4-5D6E-409C-BE32-E72D297353CC}">
              <c16:uniqueId val="{00000000-827D-448E-99F2-0F5656F65EDC}"/>
            </c:ext>
          </c:extLst>
        </c:ser>
        <c:dLbls>
          <c:showLegendKey val="0"/>
          <c:showVal val="0"/>
          <c:showCatName val="0"/>
          <c:showSerName val="0"/>
          <c:showPercent val="0"/>
          <c:showBubbleSize val="0"/>
        </c:dLbls>
        <c:smooth val="0"/>
        <c:axId val="653406440"/>
        <c:axId val="653408240"/>
      </c:lineChart>
      <c:catAx>
        <c:axId val="653406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08240"/>
        <c:crosses val="autoZero"/>
        <c:auto val="1"/>
        <c:lblAlgn val="ctr"/>
        <c:lblOffset val="100"/>
        <c:noMultiLvlLbl val="0"/>
      </c:catAx>
      <c:valAx>
        <c:axId val="65340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06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Tables'!$A$53:$A$59</c:f>
              <c:strCache>
                <c:ptCount val="6"/>
                <c:pt idx="0">
                  <c:v>Accountant</c:v>
                </c:pt>
                <c:pt idx="1">
                  <c:v>Data Analyst</c:v>
                </c:pt>
                <c:pt idx="2">
                  <c:v>HR Executive</c:v>
                </c:pt>
                <c:pt idx="3">
                  <c:v>Marketing Executive</c:v>
                </c:pt>
                <c:pt idx="4">
                  <c:v>Operations Executive</c:v>
                </c:pt>
                <c:pt idx="5">
                  <c:v>Sales Executive</c:v>
                </c:pt>
              </c:strCache>
            </c:strRef>
          </c:cat>
          <c:val>
            <c:numRef>
              <c:f>'Pivot Tables'!$B$53:$B$59</c:f>
              <c:numCache>
                <c:formatCode>General</c:formatCode>
                <c:ptCount val="6"/>
                <c:pt idx="0">
                  <c:v>77</c:v>
                </c:pt>
                <c:pt idx="1">
                  <c:v>81</c:v>
                </c:pt>
                <c:pt idx="2">
                  <c:v>77</c:v>
                </c:pt>
                <c:pt idx="3">
                  <c:v>86</c:v>
                </c:pt>
                <c:pt idx="4">
                  <c:v>99</c:v>
                </c:pt>
                <c:pt idx="5">
                  <c:v>80</c:v>
                </c:pt>
              </c:numCache>
            </c:numRef>
          </c:val>
          <c:extLst>
            <c:ext xmlns:c16="http://schemas.microsoft.com/office/drawing/2014/chart" uri="{C3380CC4-5D6E-409C-BE32-E72D297353CC}">
              <c16:uniqueId val="{00000000-1D2A-4D02-916C-63569249953F}"/>
            </c:ext>
          </c:extLst>
        </c:ser>
        <c:dLbls>
          <c:showLegendKey val="0"/>
          <c:showVal val="0"/>
          <c:showCatName val="0"/>
          <c:showSerName val="0"/>
          <c:showPercent val="0"/>
          <c:showBubbleSize val="0"/>
        </c:dLbls>
        <c:gapWidth val="182"/>
        <c:axId val="677747520"/>
        <c:axId val="677745000"/>
      </c:barChart>
      <c:catAx>
        <c:axId val="67774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45000"/>
        <c:crosses val="autoZero"/>
        <c:auto val="1"/>
        <c:lblAlgn val="ctr"/>
        <c:lblOffset val="100"/>
        <c:noMultiLvlLbl val="0"/>
      </c:catAx>
      <c:valAx>
        <c:axId val="677745000"/>
        <c:scaling>
          <c:orientation val="minMax"/>
        </c:scaling>
        <c:delete val="1"/>
        <c:axPos val="b"/>
        <c:numFmt formatCode="General" sourceLinked="1"/>
        <c:majorTickMark val="none"/>
        <c:minorTickMark val="none"/>
        <c:tickLblPos val="nextTo"/>
        <c:crossAx val="67774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Tables!PivotTable10</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F39-4F6E-93F2-701BD3757D68}"/>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2C95-440B-A706-DDA87019C417}"/>
              </c:ext>
            </c:extLst>
          </c:dPt>
          <c:cat>
            <c:strRef>
              <c:f>'Pivot Tables'!$A$83:$A$85</c:f>
              <c:strCache>
                <c:ptCount val="2"/>
                <c:pt idx="0">
                  <c:v>Contract</c:v>
                </c:pt>
                <c:pt idx="1">
                  <c:v>Full-Time</c:v>
                </c:pt>
              </c:strCache>
            </c:strRef>
          </c:cat>
          <c:val>
            <c:numRef>
              <c:f>'Pivot Tables'!$B$83:$B$85</c:f>
              <c:numCache>
                <c:formatCode>General</c:formatCode>
                <c:ptCount val="2"/>
                <c:pt idx="0">
                  <c:v>258</c:v>
                </c:pt>
                <c:pt idx="1">
                  <c:v>242</c:v>
                </c:pt>
              </c:numCache>
            </c:numRef>
          </c:val>
          <c:extLst>
            <c:ext xmlns:c16="http://schemas.microsoft.com/office/drawing/2014/chart" uri="{C3380CC4-5D6E-409C-BE32-E72D297353CC}">
              <c16:uniqueId val="{00000000-2C95-440B-A706-DDA87019C41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Tables!PivotTable5</c:name>
    <c:fmtId val="5"/>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Tables'!$A$20:$A$26</c:f>
              <c:strCache>
                <c:ptCount val="6"/>
                <c:pt idx="0">
                  <c:v>Finance</c:v>
                </c:pt>
                <c:pt idx="1">
                  <c:v>HR</c:v>
                </c:pt>
                <c:pt idx="2">
                  <c:v>IT</c:v>
                </c:pt>
                <c:pt idx="3">
                  <c:v>Marketing</c:v>
                </c:pt>
                <c:pt idx="4">
                  <c:v>Operations</c:v>
                </c:pt>
                <c:pt idx="5">
                  <c:v>Sales</c:v>
                </c:pt>
              </c:strCache>
            </c:strRef>
          </c:cat>
          <c:val>
            <c:numRef>
              <c:f>'Pivot Tables'!$B$20:$B$26</c:f>
              <c:numCache>
                <c:formatCode>General</c:formatCode>
                <c:ptCount val="6"/>
                <c:pt idx="0">
                  <c:v>77</c:v>
                </c:pt>
                <c:pt idx="1">
                  <c:v>77</c:v>
                </c:pt>
                <c:pt idx="2">
                  <c:v>81</c:v>
                </c:pt>
                <c:pt idx="3">
                  <c:v>86</c:v>
                </c:pt>
                <c:pt idx="4">
                  <c:v>99</c:v>
                </c:pt>
                <c:pt idx="5">
                  <c:v>80</c:v>
                </c:pt>
              </c:numCache>
            </c:numRef>
          </c:val>
          <c:extLst>
            <c:ext xmlns:c16="http://schemas.microsoft.com/office/drawing/2014/chart" uri="{C3380CC4-5D6E-409C-BE32-E72D297353CC}">
              <c16:uniqueId val="{00000000-FBAC-4A3F-804F-73BB8D37B8C5}"/>
            </c:ext>
          </c:extLst>
        </c:ser>
        <c:dLbls>
          <c:showLegendKey val="0"/>
          <c:showVal val="0"/>
          <c:showCatName val="0"/>
          <c:showSerName val="0"/>
          <c:showPercent val="0"/>
          <c:showBubbleSize val="0"/>
        </c:dLbls>
        <c:gapWidth val="219"/>
        <c:overlap val="-27"/>
        <c:axId val="658923400"/>
        <c:axId val="658929160"/>
      </c:barChart>
      <c:catAx>
        <c:axId val="65892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29160"/>
        <c:crosses val="autoZero"/>
        <c:auto val="1"/>
        <c:lblAlgn val="ctr"/>
        <c:lblOffset val="100"/>
        <c:noMultiLvlLbl val="0"/>
      </c:catAx>
      <c:valAx>
        <c:axId val="658929160"/>
        <c:scaling>
          <c:orientation val="minMax"/>
        </c:scaling>
        <c:delete val="1"/>
        <c:axPos val="l"/>
        <c:numFmt formatCode="General" sourceLinked="1"/>
        <c:majorTickMark val="none"/>
        <c:minorTickMark val="none"/>
        <c:tickLblPos val="nextTo"/>
        <c:crossAx val="658923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F0000"/>
          </a:solidFill>
          <a:ln w="19050">
            <a:solidFill>
              <a:schemeClr val="lt1"/>
            </a:solidFill>
          </a:ln>
          <a:effectLst/>
        </c:spPr>
      </c:pivotFmt>
    </c:pivotFmts>
    <c:plotArea>
      <c:layout/>
      <c:pieChart>
        <c:varyColors val="1"/>
        <c:ser>
          <c:idx val="0"/>
          <c:order val="0"/>
          <c:tx>
            <c:strRef>
              <c:f>'Pivot Tables'!$B$30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D6-4596-A47B-87B42455C18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3D6-4596-A47B-87B42455C1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Tables'!$A$31:$A$33</c:f>
              <c:strCache>
                <c:ptCount val="2"/>
                <c:pt idx="0">
                  <c:v>Female</c:v>
                </c:pt>
                <c:pt idx="1">
                  <c:v>Male</c:v>
                </c:pt>
              </c:strCache>
            </c:strRef>
          </c:cat>
          <c:val>
            <c:numRef>
              <c:f>'Pivot Tables'!$B$31:$B$33</c:f>
              <c:numCache>
                <c:formatCode>General</c:formatCode>
                <c:ptCount val="2"/>
                <c:pt idx="0">
                  <c:v>272</c:v>
                </c:pt>
                <c:pt idx="1">
                  <c:v>228</c:v>
                </c:pt>
              </c:numCache>
            </c:numRef>
          </c:val>
          <c:extLst>
            <c:ext xmlns:c16="http://schemas.microsoft.com/office/drawing/2014/chart" uri="{C3380CC4-5D6E-409C-BE32-E72D297353CC}">
              <c16:uniqueId val="{00000004-33D6-4596-A47B-87B42455C1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Tables!PivotTable7</c:name>
    <c:fmtId val="6"/>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Tables'!$A$39:$A$45</c:f>
              <c:strCache>
                <c:ptCount val="6"/>
                <c:pt idx="0">
                  <c:v>Finance</c:v>
                </c:pt>
                <c:pt idx="1">
                  <c:v>HR</c:v>
                </c:pt>
                <c:pt idx="2">
                  <c:v>IT</c:v>
                </c:pt>
                <c:pt idx="3">
                  <c:v>Marketing</c:v>
                </c:pt>
                <c:pt idx="4">
                  <c:v>Operations</c:v>
                </c:pt>
                <c:pt idx="5">
                  <c:v>Sales</c:v>
                </c:pt>
              </c:strCache>
            </c:strRef>
          </c:cat>
          <c:val>
            <c:numRef>
              <c:f>'Pivot Tables'!$B$39:$B$45</c:f>
              <c:numCache>
                <c:formatCode>"₹"\ #,##0</c:formatCode>
                <c:ptCount val="6"/>
                <c:pt idx="0">
                  <c:v>69530.103896103901</c:v>
                </c:pt>
                <c:pt idx="1">
                  <c:v>68694.506493506487</c:v>
                </c:pt>
                <c:pt idx="2">
                  <c:v>69826.456790123455</c:v>
                </c:pt>
                <c:pt idx="3">
                  <c:v>70573.988372093023</c:v>
                </c:pt>
                <c:pt idx="4">
                  <c:v>72683.686868686869</c:v>
                </c:pt>
                <c:pt idx="5">
                  <c:v>71046.862500000003</c:v>
                </c:pt>
              </c:numCache>
            </c:numRef>
          </c:val>
          <c:extLst>
            <c:ext xmlns:c16="http://schemas.microsoft.com/office/drawing/2014/chart" uri="{C3380CC4-5D6E-409C-BE32-E72D297353CC}">
              <c16:uniqueId val="{00000000-EE68-411A-B32E-E6C00A3B3AF0}"/>
            </c:ext>
          </c:extLst>
        </c:ser>
        <c:dLbls>
          <c:showLegendKey val="0"/>
          <c:showVal val="0"/>
          <c:showCatName val="0"/>
          <c:showSerName val="0"/>
          <c:showPercent val="0"/>
          <c:showBubbleSize val="0"/>
        </c:dLbls>
        <c:gapWidth val="182"/>
        <c:axId val="677585432"/>
        <c:axId val="677595152"/>
      </c:barChart>
      <c:catAx>
        <c:axId val="677585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95152"/>
        <c:crosses val="autoZero"/>
        <c:auto val="1"/>
        <c:lblAlgn val="ctr"/>
        <c:lblOffset val="100"/>
        <c:noMultiLvlLbl val="0"/>
      </c:catAx>
      <c:valAx>
        <c:axId val="677595152"/>
        <c:scaling>
          <c:orientation val="minMax"/>
        </c:scaling>
        <c:delete val="1"/>
        <c:axPos val="b"/>
        <c:numFmt formatCode="&quot;₹&quot;\ #,##0" sourceLinked="1"/>
        <c:majorTickMark val="none"/>
        <c:minorTickMark val="none"/>
        <c:tickLblPos val="nextTo"/>
        <c:crossAx val="677585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Tables'!$A$53:$A$59</c:f>
              <c:strCache>
                <c:ptCount val="6"/>
                <c:pt idx="0">
                  <c:v>Accountant</c:v>
                </c:pt>
                <c:pt idx="1">
                  <c:v>Data Analyst</c:v>
                </c:pt>
                <c:pt idx="2">
                  <c:v>HR Executive</c:v>
                </c:pt>
                <c:pt idx="3">
                  <c:v>Marketing Executive</c:v>
                </c:pt>
                <c:pt idx="4">
                  <c:v>Operations Executive</c:v>
                </c:pt>
                <c:pt idx="5">
                  <c:v>Sales Executive</c:v>
                </c:pt>
              </c:strCache>
            </c:strRef>
          </c:cat>
          <c:val>
            <c:numRef>
              <c:f>'Pivot Tables'!$B$53:$B$59</c:f>
              <c:numCache>
                <c:formatCode>General</c:formatCode>
                <c:ptCount val="6"/>
                <c:pt idx="0">
                  <c:v>77</c:v>
                </c:pt>
                <c:pt idx="1">
                  <c:v>81</c:v>
                </c:pt>
                <c:pt idx="2">
                  <c:v>77</c:v>
                </c:pt>
                <c:pt idx="3">
                  <c:v>86</c:v>
                </c:pt>
                <c:pt idx="4">
                  <c:v>99</c:v>
                </c:pt>
                <c:pt idx="5">
                  <c:v>80</c:v>
                </c:pt>
              </c:numCache>
            </c:numRef>
          </c:val>
          <c:extLst>
            <c:ext xmlns:c16="http://schemas.microsoft.com/office/drawing/2014/chart" uri="{C3380CC4-5D6E-409C-BE32-E72D297353CC}">
              <c16:uniqueId val="{00000000-028B-43C1-BFA7-736359BB3898}"/>
            </c:ext>
          </c:extLst>
        </c:ser>
        <c:dLbls>
          <c:showLegendKey val="0"/>
          <c:showVal val="0"/>
          <c:showCatName val="0"/>
          <c:showSerName val="0"/>
          <c:showPercent val="0"/>
          <c:showBubbleSize val="0"/>
        </c:dLbls>
        <c:gapWidth val="182"/>
        <c:axId val="677747520"/>
        <c:axId val="677745000"/>
      </c:barChart>
      <c:catAx>
        <c:axId val="67774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45000"/>
        <c:crosses val="autoZero"/>
        <c:auto val="1"/>
        <c:lblAlgn val="ctr"/>
        <c:lblOffset val="100"/>
        <c:noMultiLvlLbl val="0"/>
      </c:catAx>
      <c:valAx>
        <c:axId val="677745000"/>
        <c:scaling>
          <c:orientation val="minMax"/>
        </c:scaling>
        <c:delete val="1"/>
        <c:axPos val="b"/>
        <c:numFmt formatCode="General" sourceLinked="1"/>
        <c:majorTickMark val="none"/>
        <c:minorTickMark val="none"/>
        <c:tickLblPos val="nextTo"/>
        <c:crossAx val="67774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Tables'!$B$66</c:f>
              <c:strCache>
                <c:ptCount val="1"/>
                <c:pt idx="0">
                  <c:v>Total</c:v>
                </c:pt>
              </c:strCache>
            </c:strRef>
          </c:tx>
          <c:spPr>
            <a:ln w="28575" cap="rnd">
              <a:solidFill>
                <a:schemeClr val="accent1"/>
              </a:solidFill>
              <a:round/>
            </a:ln>
            <a:effectLst/>
          </c:spPr>
          <c:marker>
            <c:symbol val="none"/>
          </c:marker>
          <c:cat>
            <c:strRef>
              <c:f>'Pivot Tables'!$A$67:$A$75</c:f>
              <c:strCache>
                <c:ptCount val="8"/>
                <c:pt idx="0">
                  <c:v>2018</c:v>
                </c:pt>
                <c:pt idx="1">
                  <c:v>2019</c:v>
                </c:pt>
                <c:pt idx="2">
                  <c:v>2020</c:v>
                </c:pt>
                <c:pt idx="3">
                  <c:v>2021</c:v>
                </c:pt>
                <c:pt idx="4">
                  <c:v>2022</c:v>
                </c:pt>
                <c:pt idx="5">
                  <c:v>2023</c:v>
                </c:pt>
                <c:pt idx="6">
                  <c:v>2024</c:v>
                </c:pt>
                <c:pt idx="7">
                  <c:v>2025</c:v>
                </c:pt>
              </c:strCache>
            </c:strRef>
          </c:cat>
          <c:val>
            <c:numRef>
              <c:f>'Pivot Tables'!$B$67:$B$75</c:f>
              <c:numCache>
                <c:formatCode>General</c:formatCode>
                <c:ptCount val="8"/>
                <c:pt idx="0">
                  <c:v>60</c:v>
                </c:pt>
                <c:pt idx="1">
                  <c:v>64</c:v>
                </c:pt>
                <c:pt idx="2">
                  <c:v>64</c:v>
                </c:pt>
                <c:pt idx="3">
                  <c:v>64</c:v>
                </c:pt>
                <c:pt idx="4">
                  <c:v>68</c:v>
                </c:pt>
                <c:pt idx="5">
                  <c:v>60</c:v>
                </c:pt>
                <c:pt idx="6">
                  <c:v>63</c:v>
                </c:pt>
                <c:pt idx="7">
                  <c:v>57</c:v>
                </c:pt>
              </c:numCache>
            </c:numRef>
          </c:val>
          <c:smooth val="0"/>
          <c:extLst>
            <c:ext xmlns:c16="http://schemas.microsoft.com/office/drawing/2014/chart" uri="{C3380CC4-5D6E-409C-BE32-E72D297353CC}">
              <c16:uniqueId val="{00000000-68A4-40E1-BFBE-06012E66D9A9}"/>
            </c:ext>
          </c:extLst>
        </c:ser>
        <c:dLbls>
          <c:showLegendKey val="0"/>
          <c:showVal val="0"/>
          <c:showCatName val="0"/>
          <c:showSerName val="0"/>
          <c:showPercent val="0"/>
          <c:showBubbleSize val="0"/>
        </c:dLbls>
        <c:smooth val="0"/>
        <c:axId val="653406440"/>
        <c:axId val="653408240"/>
      </c:lineChart>
      <c:catAx>
        <c:axId val="653406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08240"/>
        <c:crosses val="autoZero"/>
        <c:auto val="1"/>
        <c:lblAlgn val="ctr"/>
        <c:lblOffset val="100"/>
        <c:noMultiLvlLbl val="0"/>
      </c:catAx>
      <c:valAx>
        <c:axId val="65340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06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Tables!PivotTable10</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FFFF00"/>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FFFF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0E2-41B9-BB80-72788F37F87F}"/>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70E2-41B9-BB80-72788F37F87F}"/>
              </c:ext>
            </c:extLst>
          </c:dPt>
          <c:cat>
            <c:strRef>
              <c:f>'Pivot Tables'!$A$83:$A$85</c:f>
              <c:strCache>
                <c:ptCount val="2"/>
                <c:pt idx="0">
                  <c:v>Contract</c:v>
                </c:pt>
                <c:pt idx="1">
                  <c:v>Full-Time</c:v>
                </c:pt>
              </c:strCache>
            </c:strRef>
          </c:cat>
          <c:val>
            <c:numRef>
              <c:f>'Pivot Tables'!$B$83:$B$85</c:f>
              <c:numCache>
                <c:formatCode>General</c:formatCode>
                <c:ptCount val="2"/>
                <c:pt idx="0">
                  <c:v>258</c:v>
                </c:pt>
                <c:pt idx="1">
                  <c:v>242</c:v>
                </c:pt>
              </c:numCache>
            </c:numRef>
          </c:val>
          <c:extLst>
            <c:ext xmlns:c16="http://schemas.microsoft.com/office/drawing/2014/chart" uri="{C3380CC4-5D6E-409C-BE32-E72D297353CC}">
              <c16:uniqueId val="{00000004-70E2-41B9-BB80-72788F37F87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svg"/><Relationship Id="rId3" Type="http://schemas.openxmlformats.org/officeDocument/2006/relationships/hyperlink" Target="#Overview!A1"/><Relationship Id="rId21" Type="http://schemas.openxmlformats.org/officeDocument/2006/relationships/image" Target="../media/image16.png"/><Relationship Id="rId7" Type="http://schemas.openxmlformats.org/officeDocument/2006/relationships/hyperlink" Target="#About!A1"/><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hyperlink" Target="#'Employee Details'!A1"/><Relationship Id="rId11" Type="http://schemas.openxmlformats.org/officeDocument/2006/relationships/image" Target="../media/image6.svg"/><Relationship Id="rId24" Type="http://schemas.openxmlformats.org/officeDocument/2006/relationships/image" Target="../media/image19.svg"/><Relationship Id="rId5" Type="http://schemas.openxmlformats.org/officeDocument/2006/relationships/hyperlink" Target="#'Salary Analysis'!A1"/><Relationship Id="rId15" Type="http://schemas.openxmlformats.org/officeDocument/2006/relationships/image" Target="../media/image10.svg"/><Relationship Id="rId23" Type="http://schemas.openxmlformats.org/officeDocument/2006/relationships/image" Target="../media/image18.png"/><Relationship Id="rId10" Type="http://schemas.openxmlformats.org/officeDocument/2006/relationships/image" Target="../media/image5.png"/><Relationship Id="rId19" Type="http://schemas.openxmlformats.org/officeDocument/2006/relationships/image" Target="../media/image14.png"/><Relationship Id="rId4" Type="http://schemas.openxmlformats.org/officeDocument/2006/relationships/hyperlink" Target="#Department!A1"/><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7.sv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21.svg"/><Relationship Id="rId18" Type="http://schemas.openxmlformats.org/officeDocument/2006/relationships/image" Target="../media/image26.png"/><Relationship Id="rId26" Type="http://schemas.openxmlformats.org/officeDocument/2006/relationships/image" Target="../media/image34.png"/><Relationship Id="rId3" Type="http://schemas.openxmlformats.org/officeDocument/2006/relationships/hyperlink" Target="#Overview!A1"/><Relationship Id="rId21" Type="http://schemas.openxmlformats.org/officeDocument/2006/relationships/image" Target="../media/image29.svg"/><Relationship Id="rId34" Type="http://schemas.openxmlformats.org/officeDocument/2006/relationships/image" Target="../media/image42.svg"/><Relationship Id="rId7" Type="http://schemas.openxmlformats.org/officeDocument/2006/relationships/hyperlink" Target="#About!A1"/><Relationship Id="rId12" Type="http://schemas.openxmlformats.org/officeDocument/2006/relationships/image" Target="../media/image20.png"/><Relationship Id="rId17" Type="http://schemas.openxmlformats.org/officeDocument/2006/relationships/image" Target="../media/image25.svg"/><Relationship Id="rId25" Type="http://schemas.openxmlformats.org/officeDocument/2006/relationships/image" Target="../media/image33.svg"/><Relationship Id="rId33" Type="http://schemas.openxmlformats.org/officeDocument/2006/relationships/image" Target="../media/image41.svg"/><Relationship Id="rId2" Type="http://schemas.openxmlformats.org/officeDocument/2006/relationships/image" Target="../media/image2.svg"/><Relationship Id="rId16" Type="http://schemas.openxmlformats.org/officeDocument/2006/relationships/image" Target="../media/image24.png"/><Relationship Id="rId20" Type="http://schemas.openxmlformats.org/officeDocument/2006/relationships/image" Target="../media/image28.png"/><Relationship Id="rId29" Type="http://schemas.openxmlformats.org/officeDocument/2006/relationships/image" Target="../media/image37.svg"/><Relationship Id="rId1" Type="http://schemas.openxmlformats.org/officeDocument/2006/relationships/image" Target="../media/image1.png"/><Relationship Id="rId6" Type="http://schemas.openxmlformats.org/officeDocument/2006/relationships/hyperlink" Target="#'Employee Details'!A1"/><Relationship Id="rId11" Type="http://schemas.openxmlformats.org/officeDocument/2006/relationships/image" Target="../media/image6.svg"/><Relationship Id="rId24" Type="http://schemas.openxmlformats.org/officeDocument/2006/relationships/image" Target="../media/image32.png"/><Relationship Id="rId32" Type="http://schemas.openxmlformats.org/officeDocument/2006/relationships/image" Target="../media/image40.png"/><Relationship Id="rId5" Type="http://schemas.openxmlformats.org/officeDocument/2006/relationships/hyperlink" Target="#'Salary Analysis'!A1"/><Relationship Id="rId15" Type="http://schemas.openxmlformats.org/officeDocument/2006/relationships/image" Target="../media/image23.svg"/><Relationship Id="rId23" Type="http://schemas.openxmlformats.org/officeDocument/2006/relationships/image" Target="../media/image31.svg"/><Relationship Id="rId28" Type="http://schemas.openxmlformats.org/officeDocument/2006/relationships/image" Target="../media/image36.png"/><Relationship Id="rId10" Type="http://schemas.openxmlformats.org/officeDocument/2006/relationships/image" Target="../media/image5.png"/><Relationship Id="rId19" Type="http://schemas.openxmlformats.org/officeDocument/2006/relationships/image" Target="../media/image27.svg"/><Relationship Id="rId31" Type="http://schemas.openxmlformats.org/officeDocument/2006/relationships/image" Target="../media/image39.svg"/><Relationship Id="rId4" Type="http://schemas.openxmlformats.org/officeDocument/2006/relationships/hyperlink" Target="#Department!A1"/><Relationship Id="rId9" Type="http://schemas.openxmlformats.org/officeDocument/2006/relationships/image" Target="../media/image4.svg"/><Relationship Id="rId14" Type="http://schemas.openxmlformats.org/officeDocument/2006/relationships/image" Target="../media/image22.png"/><Relationship Id="rId22" Type="http://schemas.openxmlformats.org/officeDocument/2006/relationships/image" Target="../media/image30.png"/><Relationship Id="rId27" Type="http://schemas.openxmlformats.org/officeDocument/2006/relationships/image" Target="../media/image35.svg"/><Relationship Id="rId30"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47.png"/><Relationship Id="rId3" Type="http://schemas.openxmlformats.org/officeDocument/2006/relationships/hyperlink" Target="#Overview!A1"/><Relationship Id="rId7" Type="http://schemas.openxmlformats.org/officeDocument/2006/relationships/hyperlink" Target="#About!A1"/><Relationship Id="rId12" Type="http://schemas.openxmlformats.org/officeDocument/2006/relationships/image" Target="../media/image7.png"/><Relationship Id="rId17" Type="http://schemas.openxmlformats.org/officeDocument/2006/relationships/image" Target="../media/image46.svg"/><Relationship Id="rId2" Type="http://schemas.openxmlformats.org/officeDocument/2006/relationships/image" Target="../media/image2.svg"/><Relationship Id="rId16" Type="http://schemas.openxmlformats.org/officeDocument/2006/relationships/image" Target="../media/image45.png"/><Relationship Id="rId1" Type="http://schemas.openxmlformats.org/officeDocument/2006/relationships/image" Target="../media/image1.png"/><Relationship Id="rId6" Type="http://schemas.openxmlformats.org/officeDocument/2006/relationships/hyperlink" Target="#'Employee Details'!A1"/><Relationship Id="rId11" Type="http://schemas.openxmlformats.org/officeDocument/2006/relationships/image" Target="../media/image44.svg"/><Relationship Id="rId5" Type="http://schemas.openxmlformats.org/officeDocument/2006/relationships/hyperlink" Target="#'Salary Analysis'!A1"/><Relationship Id="rId15" Type="http://schemas.openxmlformats.org/officeDocument/2006/relationships/image" Target="../media/image23.svg"/><Relationship Id="rId10" Type="http://schemas.openxmlformats.org/officeDocument/2006/relationships/image" Target="../media/image43.png"/><Relationship Id="rId19" Type="http://schemas.openxmlformats.org/officeDocument/2006/relationships/image" Target="../media/image48.svg"/><Relationship Id="rId4" Type="http://schemas.openxmlformats.org/officeDocument/2006/relationships/hyperlink" Target="#Department!A1"/><Relationship Id="rId9" Type="http://schemas.openxmlformats.org/officeDocument/2006/relationships/image" Target="../media/image4.svg"/><Relationship Id="rId14" Type="http://schemas.openxmlformats.org/officeDocument/2006/relationships/image" Target="../media/image2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hyperlink" Target="#'Employee Details'!A1"/><Relationship Id="rId18" Type="http://schemas.openxmlformats.org/officeDocument/2006/relationships/image" Target="../media/image51.png"/><Relationship Id="rId26" Type="http://schemas.openxmlformats.org/officeDocument/2006/relationships/image" Target="../media/image59.png"/><Relationship Id="rId3" Type="http://schemas.openxmlformats.org/officeDocument/2006/relationships/hyperlink" Target="#Overview!A1"/><Relationship Id="rId21" Type="http://schemas.openxmlformats.org/officeDocument/2006/relationships/image" Target="../media/image54.svg"/><Relationship Id="rId7" Type="http://schemas.openxmlformats.org/officeDocument/2006/relationships/image" Target="../media/image3.png"/><Relationship Id="rId12" Type="http://schemas.openxmlformats.org/officeDocument/2006/relationships/image" Target="../media/image6.svg"/><Relationship Id="rId17" Type="http://schemas.openxmlformats.org/officeDocument/2006/relationships/image" Target="../media/image23.svg"/><Relationship Id="rId25" Type="http://schemas.openxmlformats.org/officeDocument/2006/relationships/image" Target="../media/image58.svg"/><Relationship Id="rId2" Type="http://schemas.openxmlformats.org/officeDocument/2006/relationships/image" Target="../media/image2.svg"/><Relationship Id="rId16" Type="http://schemas.openxmlformats.org/officeDocument/2006/relationships/image" Target="../media/image22.png"/><Relationship Id="rId20" Type="http://schemas.openxmlformats.org/officeDocument/2006/relationships/image" Target="../media/image53.png"/><Relationship Id="rId29" Type="http://schemas.openxmlformats.org/officeDocument/2006/relationships/image" Target="../media/image6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image" Target="../media/image5.png"/><Relationship Id="rId24" Type="http://schemas.openxmlformats.org/officeDocument/2006/relationships/image" Target="../media/image57.png"/><Relationship Id="rId5" Type="http://schemas.openxmlformats.org/officeDocument/2006/relationships/hyperlink" Target="#'Salary Analysis'!A1"/><Relationship Id="rId15" Type="http://schemas.openxmlformats.org/officeDocument/2006/relationships/image" Target="../media/image8.svg"/><Relationship Id="rId23" Type="http://schemas.openxmlformats.org/officeDocument/2006/relationships/image" Target="../media/image56.svg"/><Relationship Id="rId28" Type="http://schemas.openxmlformats.org/officeDocument/2006/relationships/image" Target="../media/image61.png"/><Relationship Id="rId10" Type="http://schemas.openxmlformats.org/officeDocument/2006/relationships/image" Target="../media/image50.svg"/><Relationship Id="rId19" Type="http://schemas.openxmlformats.org/officeDocument/2006/relationships/image" Target="../media/image52.svg"/><Relationship Id="rId31" Type="http://schemas.openxmlformats.org/officeDocument/2006/relationships/image" Target="../media/image64.svg"/><Relationship Id="rId4" Type="http://schemas.openxmlformats.org/officeDocument/2006/relationships/hyperlink" Target="#Department!A1"/><Relationship Id="rId9" Type="http://schemas.openxmlformats.org/officeDocument/2006/relationships/image" Target="../media/image49.png"/><Relationship Id="rId14" Type="http://schemas.openxmlformats.org/officeDocument/2006/relationships/image" Target="../media/image7.png"/><Relationship Id="rId22" Type="http://schemas.openxmlformats.org/officeDocument/2006/relationships/image" Target="../media/image55.png"/><Relationship Id="rId27" Type="http://schemas.openxmlformats.org/officeDocument/2006/relationships/image" Target="../media/image60.svg"/><Relationship Id="rId30" Type="http://schemas.openxmlformats.org/officeDocument/2006/relationships/image" Target="../media/image63.png"/></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67.png"/><Relationship Id="rId26" Type="http://schemas.openxmlformats.org/officeDocument/2006/relationships/chart" Target="../charts/chart7.xml"/><Relationship Id="rId3" Type="http://schemas.openxmlformats.org/officeDocument/2006/relationships/hyperlink" Target="#Overview!A1"/><Relationship Id="rId21" Type="http://schemas.openxmlformats.org/officeDocument/2006/relationships/image" Target="../media/image70.svg"/><Relationship Id="rId7" Type="http://schemas.openxmlformats.org/officeDocument/2006/relationships/hyperlink" Target="#About!A1"/><Relationship Id="rId12" Type="http://schemas.openxmlformats.org/officeDocument/2006/relationships/image" Target="../media/image7.png"/><Relationship Id="rId17" Type="http://schemas.openxmlformats.org/officeDocument/2006/relationships/image" Target="../media/image66.svg"/><Relationship Id="rId25" Type="http://schemas.openxmlformats.org/officeDocument/2006/relationships/image" Target="../media/image74.svg"/><Relationship Id="rId2" Type="http://schemas.openxmlformats.org/officeDocument/2006/relationships/image" Target="../media/image2.svg"/><Relationship Id="rId16" Type="http://schemas.openxmlformats.org/officeDocument/2006/relationships/image" Target="../media/image65.png"/><Relationship Id="rId20" Type="http://schemas.openxmlformats.org/officeDocument/2006/relationships/image" Target="../media/image69.png"/><Relationship Id="rId29"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hyperlink" Target="#'Employee Details'!A1"/><Relationship Id="rId11" Type="http://schemas.openxmlformats.org/officeDocument/2006/relationships/image" Target="../media/image6.svg"/><Relationship Id="rId24" Type="http://schemas.openxmlformats.org/officeDocument/2006/relationships/image" Target="../media/image73.png"/><Relationship Id="rId5" Type="http://schemas.openxmlformats.org/officeDocument/2006/relationships/hyperlink" Target="#'Salary Analysis'!A1"/><Relationship Id="rId15" Type="http://schemas.openxmlformats.org/officeDocument/2006/relationships/image" Target="../media/image23.svg"/><Relationship Id="rId23" Type="http://schemas.openxmlformats.org/officeDocument/2006/relationships/image" Target="../media/image72.svg"/><Relationship Id="rId28" Type="http://schemas.openxmlformats.org/officeDocument/2006/relationships/chart" Target="../charts/chart9.xml"/><Relationship Id="rId10" Type="http://schemas.openxmlformats.org/officeDocument/2006/relationships/image" Target="../media/image5.png"/><Relationship Id="rId19" Type="http://schemas.openxmlformats.org/officeDocument/2006/relationships/image" Target="../media/image68.svg"/><Relationship Id="rId31" Type="http://schemas.openxmlformats.org/officeDocument/2006/relationships/chart" Target="../charts/chart12.xml"/><Relationship Id="rId4" Type="http://schemas.openxmlformats.org/officeDocument/2006/relationships/hyperlink" Target="#Department!A1"/><Relationship Id="rId9" Type="http://schemas.openxmlformats.org/officeDocument/2006/relationships/image" Target="../media/image4.svg"/><Relationship Id="rId14" Type="http://schemas.openxmlformats.org/officeDocument/2006/relationships/image" Target="../media/image22.png"/><Relationship Id="rId22" Type="http://schemas.openxmlformats.org/officeDocument/2006/relationships/image" Target="../media/image71.png"/><Relationship Id="rId27" Type="http://schemas.openxmlformats.org/officeDocument/2006/relationships/chart" Target="../charts/chart8.xml"/><Relationship Id="rId30"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9413</xdr:colOff>
      <xdr:row>0</xdr:row>
      <xdr:rowOff>52889</xdr:rowOff>
    </xdr:from>
    <xdr:to>
      <xdr:col>25</xdr:col>
      <xdr:colOff>134471</xdr:colOff>
      <xdr:row>42</xdr:row>
      <xdr:rowOff>26893</xdr:rowOff>
    </xdr:to>
    <xdr:sp macro="" textlink="">
      <xdr:nvSpPr>
        <xdr:cNvPr id="2" name="Rectangle 1">
          <a:extLst>
            <a:ext uri="{FF2B5EF4-FFF2-40B4-BE49-F238E27FC236}">
              <a16:creationId xmlns:a16="http://schemas.microsoft.com/office/drawing/2014/main" id="{E3047AC5-A6DA-4929-811C-47C53265FCB8}"/>
            </a:ext>
          </a:extLst>
        </xdr:cNvPr>
        <xdr:cNvSpPr/>
      </xdr:nvSpPr>
      <xdr:spPr>
        <a:xfrm>
          <a:off x="619013" y="52889"/>
          <a:ext cx="14755458" cy="764734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b="1">
            <a:solidFill>
              <a:schemeClr val="accent1"/>
            </a:solidFill>
            <a:latin typeface="+mn-lt"/>
            <a:ea typeface="+mn-ea"/>
            <a:cs typeface="+mn-cs"/>
          </a:endParaRPr>
        </a:p>
      </xdr:txBody>
    </xdr:sp>
    <xdr:clientData/>
  </xdr:twoCellAnchor>
  <xdr:twoCellAnchor>
    <xdr:from>
      <xdr:col>1</xdr:col>
      <xdr:colOff>8964</xdr:colOff>
      <xdr:row>0</xdr:row>
      <xdr:rowOff>26894</xdr:rowOff>
    </xdr:from>
    <xdr:to>
      <xdr:col>25</xdr:col>
      <xdr:colOff>125506</xdr:colOff>
      <xdr:row>4</xdr:row>
      <xdr:rowOff>170330</xdr:rowOff>
    </xdr:to>
    <xdr:sp macro="" textlink="">
      <xdr:nvSpPr>
        <xdr:cNvPr id="3" name="Rectangle: Rounded Corners 2">
          <a:extLst>
            <a:ext uri="{FF2B5EF4-FFF2-40B4-BE49-F238E27FC236}">
              <a16:creationId xmlns:a16="http://schemas.microsoft.com/office/drawing/2014/main" id="{550EB957-1725-486B-935C-2C68E1C4A530}"/>
            </a:ext>
          </a:extLst>
        </xdr:cNvPr>
        <xdr:cNvSpPr/>
      </xdr:nvSpPr>
      <xdr:spPr>
        <a:xfrm>
          <a:off x="618564" y="26894"/>
          <a:ext cx="14746942" cy="874956"/>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8964</xdr:colOff>
      <xdr:row>4</xdr:row>
      <xdr:rowOff>161364</xdr:rowOff>
    </xdr:from>
    <xdr:to>
      <xdr:col>3</xdr:col>
      <xdr:colOff>541468</xdr:colOff>
      <xdr:row>42</xdr:row>
      <xdr:rowOff>53788</xdr:rowOff>
    </xdr:to>
    <xdr:sp macro="" textlink="">
      <xdr:nvSpPr>
        <xdr:cNvPr id="4" name="Rectangle: Rounded Corners 3">
          <a:extLst>
            <a:ext uri="{FF2B5EF4-FFF2-40B4-BE49-F238E27FC236}">
              <a16:creationId xmlns:a16="http://schemas.microsoft.com/office/drawing/2014/main" id="{DBA8E2A4-92DA-445B-A769-B7B6AABCBC76}"/>
            </a:ext>
          </a:extLst>
        </xdr:cNvPr>
        <xdr:cNvSpPr/>
      </xdr:nvSpPr>
      <xdr:spPr>
        <a:xfrm>
          <a:off x="618564" y="892884"/>
          <a:ext cx="1751704" cy="6834244"/>
        </a:xfrm>
        <a:prstGeom prst="roundRect">
          <a:avLst>
            <a:gd name="adj" fmla="val 20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xdr:row>
      <xdr:rowOff>144780</xdr:rowOff>
    </xdr:from>
    <xdr:to>
      <xdr:col>16</xdr:col>
      <xdr:colOff>160020</xdr:colOff>
      <xdr:row>4</xdr:row>
      <xdr:rowOff>38100</xdr:rowOff>
    </xdr:to>
    <xdr:sp macro="" textlink="">
      <xdr:nvSpPr>
        <xdr:cNvPr id="5" name="Rectangle: Rounded Corners 4">
          <a:extLst>
            <a:ext uri="{FF2B5EF4-FFF2-40B4-BE49-F238E27FC236}">
              <a16:creationId xmlns:a16="http://schemas.microsoft.com/office/drawing/2014/main" id="{912AAC91-F5EA-4C61-B550-165DC7995CFB}"/>
            </a:ext>
          </a:extLst>
        </xdr:cNvPr>
        <xdr:cNvSpPr/>
      </xdr:nvSpPr>
      <xdr:spPr>
        <a:xfrm>
          <a:off x="3543300" y="327660"/>
          <a:ext cx="6370320" cy="441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n-lt"/>
            </a:rPr>
            <a:t>                                       ABOUT</a:t>
          </a:r>
        </a:p>
      </xdr:txBody>
    </xdr:sp>
    <xdr:clientData/>
  </xdr:twoCellAnchor>
  <xdr:twoCellAnchor>
    <xdr:from>
      <xdr:col>1</xdr:col>
      <xdr:colOff>137160</xdr:colOff>
      <xdr:row>1</xdr:row>
      <xdr:rowOff>53340</xdr:rowOff>
    </xdr:from>
    <xdr:to>
      <xdr:col>4</xdr:col>
      <xdr:colOff>83820</xdr:colOff>
      <xdr:row>4</xdr:row>
      <xdr:rowOff>83820</xdr:rowOff>
    </xdr:to>
    <xdr:sp macro="" textlink="">
      <xdr:nvSpPr>
        <xdr:cNvPr id="6" name="Rectangle: Rounded Corners 5">
          <a:extLst>
            <a:ext uri="{FF2B5EF4-FFF2-40B4-BE49-F238E27FC236}">
              <a16:creationId xmlns:a16="http://schemas.microsoft.com/office/drawing/2014/main" id="{9D7193A7-E32A-4D73-B055-CF2475D2C878}"/>
            </a:ext>
          </a:extLst>
        </xdr:cNvPr>
        <xdr:cNvSpPr/>
      </xdr:nvSpPr>
      <xdr:spPr>
        <a:xfrm>
          <a:off x="746760" y="236220"/>
          <a:ext cx="1775460" cy="579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200" b="1"/>
            <a:t>ABC  </a:t>
          </a:r>
        </a:p>
        <a:p>
          <a:pPr algn="l"/>
          <a:r>
            <a:rPr lang="en-IN" sz="1200"/>
            <a:t>                TECHNOLOGIES</a:t>
          </a:r>
        </a:p>
      </xdr:txBody>
    </xdr:sp>
    <xdr:clientData/>
  </xdr:twoCellAnchor>
  <xdr:twoCellAnchor editAs="oneCell">
    <xdr:from>
      <xdr:col>1</xdr:col>
      <xdr:colOff>137160</xdr:colOff>
      <xdr:row>1</xdr:row>
      <xdr:rowOff>45720</xdr:rowOff>
    </xdr:from>
    <xdr:to>
      <xdr:col>2</xdr:col>
      <xdr:colOff>152400</xdr:colOff>
      <xdr:row>4</xdr:row>
      <xdr:rowOff>121920</xdr:rowOff>
    </xdr:to>
    <xdr:pic>
      <xdr:nvPicPr>
        <xdr:cNvPr id="7" name="Graphic 6" descr="Users">
          <a:extLst>
            <a:ext uri="{FF2B5EF4-FFF2-40B4-BE49-F238E27FC236}">
              <a16:creationId xmlns:a16="http://schemas.microsoft.com/office/drawing/2014/main" id="{6603CA63-0E61-4220-8E19-DA87DC9340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228600"/>
          <a:ext cx="624840" cy="624840"/>
        </a:xfrm>
        <a:prstGeom prst="rect">
          <a:avLst/>
        </a:prstGeom>
      </xdr:spPr>
    </xdr:pic>
    <xdr:clientData/>
  </xdr:twoCellAnchor>
  <xdr:twoCellAnchor>
    <xdr:from>
      <xdr:col>1</xdr:col>
      <xdr:colOff>121920</xdr:colOff>
      <xdr:row>6</xdr:row>
      <xdr:rowOff>22860</xdr:rowOff>
    </xdr:from>
    <xdr:to>
      <xdr:col>3</xdr:col>
      <xdr:colOff>335280</xdr:colOff>
      <xdr:row>8</xdr:row>
      <xdr:rowOff>121920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3B9E0FB7-5F56-4AB3-AD61-868C622946B9}"/>
            </a:ext>
          </a:extLst>
        </xdr:cNvPr>
        <xdr:cNvSpPr/>
      </xdr:nvSpPr>
      <xdr:spPr>
        <a:xfrm>
          <a:off x="731520" y="1112520"/>
          <a:ext cx="143256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Overview</a:t>
          </a:r>
        </a:p>
      </xdr:txBody>
    </xdr:sp>
    <xdr:clientData/>
  </xdr:twoCellAnchor>
  <xdr:twoCellAnchor>
    <xdr:from>
      <xdr:col>1</xdr:col>
      <xdr:colOff>106680</xdr:colOff>
      <xdr:row>9</xdr:row>
      <xdr:rowOff>30480</xdr:rowOff>
    </xdr:from>
    <xdr:to>
      <xdr:col>3</xdr:col>
      <xdr:colOff>312420</xdr:colOff>
      <xdr:row>11</xdr:row>
      <xdr:rowOff>160020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964F1572-2019-4296-855E-E50B8C5AD6F8}"/>
            </a:ext>
          </a:extLst>
        </xdr:cNvPr>
        <xdr:cNvSpPr/>
      </xdr:nvSpPr>
      <xdr:spPr>
        <a:xfrm>
          <a:off x="716280" y="1668780"/>
          <a:ext cx="14249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Department</a:t>
          </a:r>
        </a:p>
      </xdr:txBody>
    </xdr:sp>
    <xdr:clientData/>
  </xdr:twoCellAnchor>
  <xdr:twoCellAnchor>
    <xdr:from>
      <xdr:col>1</xdr:col>
      <xdr:colOff>106680</xdr:colOff>
      <xdr:row>12</xdr:row>
      <xdr:rowOff>114300</xdr:rowOff>
    </xdr:from>
    <xdr:to>
      <xdr:col>3</xdr:col>
      <xdr:colOff>342900</xdr:colOff>
      <xdr:row>15</xdr:row>
      <xdr:rowOff>30480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85A10319-8CF3-4FC3-820F-77C68D59ED74}"/>
            </a:ext>
          </a:extLst>
        </xdr:cNvPr>
        <xdr:cNvSpPr/>
      </xdr:nvSpPr>
      <xdr:spPr>
        <a:xfrm>
          <a:off x="716280" y="2301240"/>
          <a:ext cx="145542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t>
          </a:r>
          <a:r>
            <a:rPr lang="en-IN" sz="1200"/>
            <a:t>Salary</a:t>
          </a:r>
          <a:r>
            <a:rPr lang="en-IN" sz="1200" baseline="0"/>
            <a:t> Analysis</a:t>
          </a:r>
          <a:endParaRPr lang="en-IN" sz="1200"/>
        </a:p>
      </xdr:txBody>
    </xdr:sp>
    <xdr:clientData/>
  </xdr:twoCellAnchor>
  <xdr:twoCellAnchor>
    <xdr:from>
      <xdr:col>1</xdr:col>
      <xdr:colOff>129540</xdr:colOff>
      <xdr:row>15</xdr:row>
      <xdr:rowOff>144780</xdr:rowOff>
    </xdr:from>
    <xdr:to>
      <xdr:col>3</xdr:col>
      <xdr:colOff>396240</xdr:colOff>
      <xdr:row>18</xdr:row>
      <xdr:rowOff>137160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5FF72413-EAA3-4943-8D9C-C471BCB91183}"/>
            </a:ext>
          </a:extLst>
        </xdr:cNvPr>
        <xdr:cNvSpPr/>
      </xdr:nvSpPr>
      <xdr:spPr>
        <a:xfrm>
          <a:off x="739140" y="2880360"/>
          <a:ext cx="148590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Employee Details</a:t>
          </a:r>
          <a:endParaRPr lang="en-IN" sz="1200"/>
        </a:p>
      </xdr:txBody>
    </xdr:sp>
    <xdr:clientData/>
  </xdr:twoCellAnchor>
  <xdr:twoCellAnchor>
    <xdr:from>
      <xdr:col>1</xdr:col>
      <xdr:colOff>121920</xdr:colOff>
      <xdr:row>19</xdr:row>
      <xdr:rowOff>45720</xdr:rowOff>
    </xdr:from>
    <xdr:to>
      <xdr:col>3</xdr:col>
      <xdr:colOff>350520</xdr:colOff>
      <xdr:row>21</xdr:row>
      <xdr:rowOff>175260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70199E80-17A1-49B6-9D72-7D205427DEFF}"/>
            </a:ext>
          </a:extLst>
        </xdr:cNvPr>
        <xdr:cNvSpPr/>
      </xdr:nvSpPr>
      <xdr:spPr>
        <a:xfrm>
          <a:off x="731520" y="3512820"/>
          <a:ext cx="1447800" cy="495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 </a:t>
          </a:r>
          <a:r>
            <a:rPr lang="en-IN" sz="1200" baseline="0">
              <a:solidFill>
                <a:schemeClr val="tx1"/>
              </a:solidFill>
            </a:rPr>
            <a:t> About</a:t>
          </a:r>
          <a:endParaRPr lang="en-IN" sz="1200">
            <a:solidFill>
              <a:schemeClr val="tx1"/>
            </a:solidFill>
          </a:endParaRPr>
        </a:p>
      </xdr:txBody>
    </xdr:sp>
    <xdr:clientData/>
  </xdr:twoCellAnchor>
  <xdr:twoCellAnchor editAs="oneCell">
    <xdr:from>
      <xdr:col>1</xdr:col>
      <xdr:colOff>205740</xdr:colOff>
      <xdr:row>6</xdr:row>
      <xdr:rowOff>30480</xdr:rowOff>
    </xdr:from>
    <xdr:to>
      <xdr:col>2</xdr:col>
      <xdr:colOff>22860</xdr:colOff>
      <xdr:row>8</xdr:row>
      <xdr:rowOff>91440</xdr:rowOff>
    </xdr:to>
    <xdr:pic>
      <xdr:nvPicPr>
        <xdr:cNvPr id="13" name="Graphic 12" descr="House">
          <a:extLst>
            <a:ext uri="{FF2B5EF4-FFF2-40B4-BE49-F238E27FC236}">
              <a16:creationId xmlns:a16="http://schemas.microsoft.com/office/drawing/2014/main" id="{7BE4C942-6D35-4677-A53E-B5AEAFC6258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15340" y="1120140"/>
          <a:ext cx="426720" cy="426720"/>
        </a:xfrm>
        <a:prstGeom prst="rect">
          <a:avLst/>
        </a:prstGeom>
      </xdr:spPr>
    </xdr:pic>
    <xdr:clientData/>
  </xdr:twoCellAnchor>
  <xdr:twoCellAnchor editAs="oneCell">
    <xdr:from>
      <xdr:col>1</xdr:col>
      <xdr:colOff>137160</xdr:colOff>
      <xdr:row>9</xdr:row>
      <xdr:rowOff>91440</xdr:rowOff>
    </xdr:from>
    <xdr:to>
      <xdr:col>1</xdr:col>
      <xdr:colOff>533400</xdr:colOff>
      <xdr:row>11</xdr:row>
      <xdr:rowOff>121920</xdr:rowOff>
    </xdr:to>
    <xdr:pic>
      <xdr:nvPicPr>
        <xdr:cNvPr id="14" name="Graphic 13" descr="Users">
          <a:extLst>
            <a:ext uri="{FF2B5EF4-FFF2-40B4-BE49-F238E27FC236}">
              <a16:creationId xmlns:a16="http://schemas.microsoft.com/office/drawing/2014/main" id="{ACA26665-CD29-4627-AAD4-4B909E7A86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1729740"/>
          <a:ext cx="396240" cy="396240"/>
        </a:xfrm>
        <a:prstGeom prst="rect">
          <a:avLst/>
        </a:prstGeom>
      </xdr:spPr>
    </xdr:pic>
    <xdr:clientData/>
  </xdr:twoCellAnchor>
  <xdr:twoCellAnchor editAs="oneCell">
    <xdr:from>
      <xdr:col>1</xdr:col>
      <xdr:colOff>129540</xdr:colOff>
      <xdr:row>12</xdr:row>
      <xdr:rowOff>167640</xdr:rowOff>
    </xdr:from>
    <xdr:to>
      <xdr:col>1</xdr:col>
      <xdr:colOff>525780</xdr:colOff>
      <xdr:row>15</xdr:row>
      <xdr:rowOff>15240</xdr:rowOff>
    </xdr:to>
    <xdr:pic>
      <xdr:nvPicPr>
        <xdr:cNvPr id="15" name="Graphic 14" descr="Rupee">
          <a:extLst>
            <a:ext uri="{FF2B5EF4-FFF2-40B4-BE49-F238E27FC236}">
              <a16:creationId xmlns:a16="http://schemas.microsoft.com/office/drawing/2014/main" id="{1437DA47-2B24-44F4-973F-28FB9950F8A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9140" y="2354580"/>
          <a:ext cx="396240" cy="396240"/>
        </a:xfrm>
        <a:prstGeom prst="rect">
          <a:avLst/>
        </a:prstGeom>
      </xdr:spPr>
    </xdr:pic>
    <xdr:clientData/>
  </xdr:twoCellAnchor>
  <xdr:twoCellAnchor editAs="oneCell">
    <xdr:from>
      <xdr:col>1</xdr:col>
      <xdr:colOff>243840</xdr:colOff>
      <xdr:row>16</xdr:row>
      <xdr:rowOff>15240</xdr:rowOff>
    </xdr:from>
    <xdr:to>
      <xdr:col>2</xdr:col>
      <xdr:colOff>38100</xdr:colOff>
      <xdr:row>18</xdr:row>
      <xdr:rowOff>53340</xdr:rowOff>
    </xdr:to>
    <xdr:pic>
      <xdr:nvPicPr>
        <xdr:cNvPr id="16" name="Graphic 15" descr="Office worker">
          <a:extLst>
            <a:ext uri="{FF2B5EF4-FFF2-40B4-BE49-F238E27FC236}">
              <a16:creationId xmlns:a16="http://schemas.microsoft.com/office/drawing/2014/main" id="{38A3CEF1-1C07-44DA-9802-5DD97AE96D5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3440" y="2933700"/>
          <a:ext cx="403860" cy="403860"/>
        </a:xfrm>
        <a:prstGeom prst="rect">
          <a:avLst/>
        </a:prstGeom>
      </xdr:spPr>
    </xdr:pic>
    <xdr:clientData/>
  </xdr:twoCellAnchor>
  <xdr:twoCellAnchor editAs="oneCell">
    <xdr:from>
      <xdr:col>1</xdr:col>
      <xdr:colOff>205740</xdr:colOff>
      <xdr:row>19</xdr:row>
      <xdr:rowOff>68580</xdr:rowOff>
    </xdr:from>
    <xdr:to>
      <xdr:col>2</xdr:col>
      <xdr:colOff>22860</xdr:colOff>
      <xdr:row>21</xdr:row>
      <xdr:rowOff>129540</xdr:rowOff>
    </xdr:to>
    <xdr:pic>
      <xdr:nvPicPr>
        <xdr:cNvPr id="17" name="Graphic 16" descr="Exclamation mark">
          <a:extLst>
            <a:ext uri="{FF2B5EF4-FFF2-40B4-BE49-F238E27FC236}">
              <a16:creationId xmlns:a16="http://schemas.microsoft.com/office/drawing/2014/main" id="{2AE346B4-611F-4E5E-8222-B6880C30008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5340" y="3535680"/>
          <a:ext cx="426720" cy="426720"/>
        </a:xfrm>
        <a:prstGeom prst="rect">
          <a:avLst/>
        </a:prstGeom>
      </xdr:spPr>
    </xdr:pic>
    <xdr:clientData/>
  </xdr:twoCellAnchor>
  <xdr:twoCellAnchor>
    <xdr:from>
      <xdr:col>4</xdr:col>
      <xdr:colOff>112955</xdr:colOff>
      <xdr:row>6</xdr:row>
      <xdr:rowOff>22860</xdr:rowOff>
    </xdr:from>
    <xdr:to>
      <xdr:col>23</xdr:col>
      <xdr:colOff>277905</xdr:colOff>
      <xdr:row>13</xdr:row>
      <xdr:rowOff>107576</xdr:rowOff>
    </xdr:to>
    <xdr:sp macro="" textlink="">
      <xdr:nvSpPr>
        <xdr:cNvPr id="18" name="Rectangle: Rounded Corners 17">
          <a:extLst>
            <a:ext uri="{FF2B5EF4-FFF2-40B4-BE49-F238E27FC236}">
              <a16:creationId xmlns:a16="http://schemas.microsoft.com/office/drawing/2014/main" id="{A06AD403-706C-452D-885F-0FE7F35F8626}"/>
            </a:ext>
          </a:extLst>
        </xdr:cNvPr>
        <xdr:cNvSpPr/>
      </xdr:nvSpPr>
      <xdr:spPr>
        <a:xfrm>
          <a:off x="2551355" y="1098625"/>
          <a:ext cx="11747350" cy="1339775"/>
        </a:xfrm>
        <a:prstGeom prst="roundRect">
          <a:avLst>
            <a:gd name="adj" fmla="val 11761"/>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200"/>
        </a:p>
      </xdr:txBody>
    </xdr:sp>
    <xdr:clientData/>
  </xdr:twoCellAnchor>
  <xdr:twoCellAnchor>
    <xdr:from>
      <xdr:col>8</xdr:col>
      <xdr:colOff>502022</xdr:colOff>
      <xdr:row>7</xdr:row>
      <xdr:rowOff>62752</xdr:rowOff>
    </xdr:from>
    <xdr:to>
      <xdr:col>17</xdr:col>
      <xdr:colOff>233081</xdr:colOff>
      <xdr:row>12</xdr:row>
      <xdr:rowOff>62753</xdr:rowOff>
    </xdr:to>
    <xdr:sp macro="" textlink="">
      <xdr:nvSpPr>
        <xdr:cNvPr id="19" name="Rectangle 18">
          <a:extLst>
            <a:ext uri="{FF2B5EF4-FFF2-40B4-BE49-F238E27FC236}">
              <a16:creationId xmlns:a16="http://schemas.microsoft.com/office/drawing/2014/main" id="{28B665E3-23FC-4E76-B8F1-0F1CCE494B7A}"/>
            </a:ext>
          </a:extLst>
        </xdr:cNvPr>
        <xdr:cNvSpPr/>
      </xdr:nvSpPr>
      <xdr:spPr>
        <a:xfrm>
          <a:off x="5378822" y="1317811"/>
          <a:ext cx="5217459" cy="896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This dashboard</a:t>
          </a:r>
          <a:r>
            <a:rPr lang="en-IN" sz="1400" b="1" baseline="0">
              <a:solidFill>
                <a:schemeClr val="tx1"/>
              </a:solidFill>
            </a:rPr>
            <a:t> is designed to</a:t>
          </a:r>
        </a:p>
        <a:p>
          <a:pPr algn="ctr"/>
          <a:r>
            <a:rPr lang="en-IN" sz="1400" b="1" baseline="0">
              <a:solidFill>
                <a:schemeClr val="tx1"/>
              </a:solidFill>
            </a:rPr>
            <a:t>provide a comprehensive</a:t>
          </a:r>
        </a:p>
        <a:p>
          <a:pPr algn="ctr"/>
          <a:r>
            <a:rPr lang="en-IN" sz="1400" b="1" baseline="0">
              <a:solidFill>
                <a:schemeClr val="tx1"/>
              </a:solidFill>
            </a:rPr>
            <a:t>overview of HR data in one </a:t>
          </a:r>
        </a:p>
        <a:p>
          <a:pPr algn="ctr"/>
          <a:r>
            <a:rPr lang="en-IN" sz="1400" b="1" baseline="0">
              <a:solidFill>
                <a:schemeClr val="tx1"/>
              </a:solidFill>
            </a:rPr>
            <a:t>place</a:t>
          </a:r>
        </a:p>
        <a:p>
          <a:pPr algn="ctr"/>
          <a:endParaRPr lang="en-IN" sz="1400" b="1">
            <a:solidFill>
              <a:schemeClr val="tx1"/>
            </a:solidFill>
          </a:endParaRPr>
        </a:p>
      </xdr:txBody>
    </xdr:sp>
    <xdr:clientData/>
  </xdr:twoCellAnchor>
  <xdr:twoCellAnchor>
    <xdr:from>
      <xdr:col>7</xdr:col>
      <xdr:colOff>448682</xdr:colOff>
      <xdr:row>15</xdr:row>
      <xdr:rowOff>169431</xdr:rowOff>
    </xdr:from>
    <xdr:to>
      <xdr:col>17</xdr:col>
      <xdr:colOff>295835</xdr:colOff>
      <xdr:row>26</xdr:row>
      <xdr:rowOff>107577</xdr:rowOff>
    </xdr:to>
    <xdr:sp macro="" textlink="">
      <xdr:nvSpPr>
        <xdr:cNvPr id="20" name="Rectangle: Rounded Corners 19">
          <a:extLst>
            <a:ext uri="{FF2B5EF4-FFF2-40B4-BE49-F238E27FC236}">
              <a16:creationId xmlns:a16="http://schemas.microsoft.com/office/drawing/2014/main" id="{5C13D771-03D6-445D-9813-705E11ED9BFA}"/>
            </a:ext>
          </a:extLst>
        </xdr:cNvPr>
        <xdr:cNvSpPr/>
      </xdr:nvSpPr>
      <xdr:spPr>
        <a:xfrm>
          <a:off x="4715882" y="2905011"/>
          <a:ext cx="5943153" cy="1949826"/>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baseline="0">
            <a:solidFill>
              <a:schemeClr val="tx1"/>
            </a:solidFill>
          </a:endParaRPr>
        </a:p>
        <a:p>
          <a:pPr algn="l"/>
          <a:endParaRPr lang="en-IN" sz="1400" b="1" baseline="0">
            <a:solidFill>
              <a:schemeClr val="tx1"/>
            </a:solidFill>
          </a:endParaRPr>
        </a:p>
        <a:p>
          <a:pPr algn="l"/>
          <a:endParaRPr lang="en-IN" sz="1400" b="1" baseline="0">
            <a:solidFill>
              <a:schemeClr val="tx1"/>
            </a:solidFill>
          </a:endParaRPr>
        </a:p>
        <a:p>
          <a:pPr algn="l"/>
          <a:r>
            <a:rPr lang="en-IN" sz="1400" b="1" baseline="0">
              <a:solidFill>
                <a:schemeClr val="tx1"/>
              </a:solidFill>
            </a:rPr>
            <a:t>-&gt; To analyze HR metrics effectivelt.</a:t>
          </a:r>
        </a:p>
        <a:p>
          <a:pPr algn="l"/>
          <a:endParaRPr lang="en-IN" sz="1400" b="1" baseline="0">
            <a:solidFill>
              <a:schemeClr val="tx1"/>
            </a:solidFill>
          </a:endParaRPr>
        </a:p>
        <a:p>
          <a:pPr algn="l"/>
          <a:r>
            <a:rPr lang="en-IN" sz="1400" b="1" baseline="0">
              <a:solidFill>
                <a:schemeClr val="tx1"/>
              </a:solidFill>
            </a:rPr>
            <a:t>-&gt; To support data - driven HR decisions</a:t>
          </a:r>
        </a:p>
        <a:p>
          <a:pPr algn="l"/>
          <a:endParaRPr lang="en-IN" sz="1400" b="1" baseline="0">
            <a:solidFill>
              <a:schemeClr val="tx1"/>
            </a:solidFill>
          </a:endParaRPr>
        </a:p>
        <a:p>
          <a:pPr algn="l"/>
          <a:r>
            <a:rPr lang="en-IN" sz="1400" b="1" baseline="0">
              <a:solidFill>
                <a:schemeClr val="tx1"/>
              </a:solidFill>
            </a:rPr>
            <a:t>-&gt; To track workforce trends and patterns </a:t>
          </a:r>
          <a:endParaRPr lang="en-IN" sz="1400" b="1">
            <a:solidFill>
              <a:schemeClr val="tx1"/>
            </a:solidFill>
          </a:endParaRPr>
        </a:p>
      </xdr:txBody>
    </xdr:sp>
    <xdr:clientData/>
  </xdr:twoCellAnchor>
  <xdr:twoCellAnchor>
    <xdr:from>
      <xdr:col>7</xdr:col>
      <xdr:colOff>457648</xdr:colOff>
      <xdr:row>15</xdr:row>
      <xdr:rowOff>170329</xdr:rowOff>
    </xdr:from>
    <xdr:to>
      <xdr:col>17</xdr:col>
      <xdr:colOff>304800</xdr:colOff>
      <xdr:row>18</xdr:row>
      <xdr:rowOff>125507</xdr:rowOff>
    </xdr:to>
    <xdr:sp macro="" textlink="">
      <xdr:nvSpPr>
        <xdr:cNvPr id="21" name="Rectangle: Rounded Corners 20">
          <a:extLst>
            <a:ext uri="{FF2B5EF4-FFF2-40B4-BE49-F238E27FC236}">
              <a16:creationId xmlns:a16="http://schemas.microsoft.com/office/drawing/2014/main" id="{056E9EFE-A2EE-4BCC-82C9-2B4A5C9BB184}"/>
            </a:ext>
          </a:extLst>
        </xdr:cNvPr>
        <xdr:cNvSpPr/>
      </xdr:nvSpPr>
      <xdr:spPr>
        <a:xfrm>
          <a:off x="4724848" y="2905909"/>
          <a:ext cx="5943152" cy="503818"/>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bg1"/>
            </a:solidFill>
          </a:endParaRPr>
        </a:p>
      </xdr:txBody>
    </xdr:sp>
    <xdr:clientData/>
  </xdr:twoCellAnchor>
  <xdr:twoCellAnchor>
    <xdr:from>
      <xdr:col>9</xdr:col>
      <xdr:colOff>331695</xdr:colOff>
      <xdr:row>16</xdr:row>
      <xdr:rowOff>44823</xdr:rowOff>
    </xdr:from>
    <xdr:to>
      <xdr:col>16</xdr:col>
      <xdr:colOff>188259</xdr:colOff>
      <xdr:row>18</xdr:row>
      <xdr:rowOff>35859</xdr:rowOff>
    </xdr:to>
    <xdr:sp macro="" textlink="">
      <xdr:nvSpPr>
        <xdr:cNvPr id="22" name="Rectangle: Rounded Corners 21">
          <a:extLst>
            <a:ext uri="{FF2B5EF4-FFF2-40B4-BE49-F238E27FC236}">
              <a16:creationId xmlns:a16="http://schemas.microsoft.com/office/drawing/2014/main" id="{8864AD88-39F0-43BB-9390-17B6414092D9}"/>
            </a:ext>
          </a:extLst>
        </xdr:cNvPr>
        <xdr:cNvSpPr/>
      </xdr:nvSpPr>
      <xdr:spPr>
        <a:xfrm>
          <a:off x="5818095" y="2963283"/>
          <a:ext cx="4123764" cy="3567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Purpose :</a:t>
          </a:r>
        </a:p>
      </xdr:txBody>
    </xdr:sp>
    <xdr:clientData/>
  </xdr:twoCellAnchor>
  <xdr:twoCellAnchor>
    <xdr:from>
      <xdr:col>4</xdr:col>
      <xdr:colOff>367553</xdr:colOff>
      <xdr:row>30</xdr:row>
      <xdr:rowOff>0</xdr:rowOff>
    </xdr:from>
    <xdr:to>
      <xdr:col>11</xdr:col>
      <xdr:colOff>62753</xdr:colOff>
      <xdr:row>32</xdr:row>
      <xdr:rowOff>107577</xdr:rowOff>
    </xdr:to>
    <xdr:sp macro="" textlink="">
      <xdr:nvSpPr>
        <xdr:cNvPr id="23" name="Rectangle: Rounded Corners 22">
          <a:extLst>
            <a:ext uri="{FF2B5EF4-FFF2-40B4-BE49-F238E27FC236}">
              <a16:creationId xmlns:a16="http://schemas.microsoft.com/office/drawing/2014/main" id="{8E9FC464-5325-4718-AB36-044C75603647}"/>
            </a:ext>
          </a:extLst>
        </xdr:cNvPr>
        <xdr:cNvSpPr/>
      </xdr:nvSpPr>
      <xdr:spPr>
        <a:xfrm>
          <a:off x="2805953" y="5478780"/>
          <a:ext cx="3962400" cy="4733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  </a:t>
          </a:r>
        </a:p>
      </xdr:txBody>
    </xdr:sp>
    <xdr:clientData/>
  </xdr:twoCellAnchor>
  <xdr:twoCellAnchor>
    <xdr:from>
      <xdr:col>6</xdr:col>
      <xdr:colOff>394446</xdr:colOff>
      <xdr:row>27</xdr:row>
      <xdr:rowOff>169433</xdr:rowOff>
    </xdr:from>
    <xdr:to>
      <xdr:col>19</xdr:col>
      <xdr:colOff>62753</xdr:colOff>
      <xdr:row>40</xdr:row>
      <xdr:rowOff>107576</xdr:rowOff>
    </xdr:to>
    <xdr:sp macro="" textlink="">
      <xdr:nvSpPr>
        <xdr:cNvPr id="24" name="Rectangle: Rounded Corners 23">
          <a:extLst>
            <a:ext uri="{FF2B5EF4-FFF2-40B4-BE49-F238E27FC236}">
              <a16:creationId xmlns:a16="http://schemas.microsoft.com/office/drawing/2014/main" id="{4CA1FC39-0C58-4A9F-A1C9-1FE13FEE3436}"/>
            </a:ext>
          </a:extLst>
        </xdr:cNvPr>
        <xdr:cNvSpPr/>
      </xdr:nvSpPr>
      <xdr:spPr>
        <a:xfrm>
          <a:off x="4052046" y="5010374"/>
          <a:ext cx="7593107" cy="2268967"/>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000" b="1" baseline="0">
            <a:solidFill>
              <a:schemeClr val="tx1"/>
            </a:solidFill>
          </a:endParaRPr>
        </a:p>
      </xdr:txBody>
    </xdr:sp>
    <xdr:clientData/>
  </xdr:twoCellAnchor>
  <xdr:twoCellAnchor>
    <xdr:from>
      <xdr:col>6</xdr:col>
      <xdr:colOff>350072</xdr:colOff>
      <xdr:row>28</xdr:row>
      <xdr:rowOff>8966</xdr:rowOff>
    </xdr:from>
    <xdr:to>
      <xdr:col>19</xdr:col>
      <xdr:colOff>44824</xdr:colOff>
      <xdr:row>30</xdr:row>
      <xdr:rowOff>80683</xdr:rowOff>
    </xdr:to>
    <xdr:sp macro="" textlink="">
      <xdr:nvSpPr>
        <xdr:cNvPr id="25" name="Rectangle: Rounded Corners 24">
          <a:extLst>
            <a:ext uri="{FF2B5EF4-FFF2-40B4-BE49-F238E27FC236}">
              <a16:creationId xmlns:a16="http://schemas.microsoft.com/office/drawing/2014/main" id="{8708D110-ED86-46BE-91D8-85CF4F518B39}"/>
            </a:ext>
          </a:extLst>
        </xdr:cNvPr>
        <xdr:cNvSpPr/>
      </xdr:nvSpPr>
      <xdr:spPr>
        <a:xfrm>
          <a:off x="4007672" y="5029201"/>
          <a:ext cx="7619552" cy="430306"/>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lumMod val="95000"/>
                </a:schemeClr>
              </a:solidFill>
            </a:rPr>
            <a:t>  Highlights</a:t>
          </a:r>
          <a:r>
            <a:rPr lang="en-IN" sz="1800" b="1" baseline="0">
              <a:solidFill>
                <a:schemeClr val="bg1">
                  <a:lumMod val="95000"/>
                </a:schemeClr>
              </a:solidFill>
            </a:rPr>
            <a:t> :</a:t>
          </a:r>
          <a:endParaRPr lang="en-IN" sz="1800" b="1">
            <a:solidFill>
              <a:schemeClr val="bg1">
                <a:lumMod val="95000"/>
              </a:schemeClr>
            </a:solidFill>
          </a:endParaRPr>
        </a:p>
      </xdr:txBody>
    </xdr:sp>
    <xdr:clientData/>
  </xdr:twoCellAnchor>
  <xdr:twoCellAnchor>
    <xdr:from>
      <xdr:col>7</xdr:col>
      <xdr:colOff>313765</xdr:colOff>
      <xdr:row>31</xdr:row>
      <xdr:rowOff>105335</xdr:rowOff>
    </xdr:from>
    <xdr:to>
      <xdr:col>11</xdr:col>
      <xdr:colOff>188258</xdr:colOff>
      <xdr:row>35</xdr:row>
      <xdr:rowOff>17930</xdr:rowOff>
    </xdr:to>
    <xdr:sp macro="" textlink="">
      <xdr:nvSpPr>
        <xdr:cNvPr id="27" name="Rectangle: Rounded Corners 26">
          <a:extLst>
            <a:ext uri="{FF2B5EF4-FFF2-40B4-BE49-F238E27FC236}">
              <a16:creationId xmlns:a16="http://schemas.microsoft.com/office/drawing/2014/main" id="{653CF9A6-A9DE-4458-8DF0-9A980F58A9EA}"/>
            </a:ext>
          </a:extLst>
        </xdr:cNvPr>
        <xdr:cNvSpPr/>
      </xdr:nvSpPr>
      <xdr:spPr>
        <a:xfrm>
          <a:off x="4580965" y="5663453"/>
          <a:ext cx="2312893" cy="6297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 </a:t>
          </a:r>
          <a:r>
            <a:rPr lang="en-IN" sz="1200" baseline="0">
              <a:solidFill>
                <a:schemeClr val="tx1"/>
              </a:solidFill>
            </a:rPr>
            <a:t>     Interactive Dashboard</a:t>
          </a:r>
          <a:endParaRPr lang="en-IN" sz="1200">
            <a:solidFill>
              <a:schemeClr val="tx1"/>
            </a:solidFill>
          </a:endParaRPr>
        </a:p>
      </xdr:txBody>
    </xdr:sp>
    <xdr:clientData/>
  </xdr:twoCellAnchor>
  <xdr:twoCellAnchor>
    <xdr:from>
      <xdr:col>14</xdr:col>
      <xdr:colOff>169432</xdr:colOff>
      <xdr:row>31</xdr:row>
      <xdr:rowOff>51546</xdr:rowOff>
    </xdr:from>
    <xdr:to>
      <xdr:col>18</xdr:col>
      <xdr:colOff>251011</xdr:colOff>
      <xdr:row>35</xdr:row>
      <xdr:rowOff>17930</xdr:rowOff>
    </xdr:to>
    <xdr:sp macro="" textlink="">
      <xdr:nvSpPr>
        <xdr:cNvPr id="28" name="Rectangle: Rounded Corners 27">
          <a:extLst>
            <a:ext uri="{FF2B5EF4-FFF2-40B4-BE49-F238E27FC236}">
              <a16:creationId xmlns:a16="http://schemas.microsoft.com/office/drawing/2014/main" id="{603B6070-645D-41EB-9ED5-29EE94362DE0}"/>
            </a:ext>
          </a:extLst>
        </xdr:cNvPr>
        <xdr:cNvSpPr/>
      </xdr:nvSpPr>
      <xdr:spPr>
        <a:xfrm>
          <a:off x="8703832" y="5609664"/>
          <a:ext cx="2519979" cy="683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Dynamic Filters &amp; Timeline</a:t>
          </a:r>
        </a:p>
      </xdr:txBody>
    </xdr:sp>
    <xdr:clientData/>
  </xdr:twoCellAnchor>
  <xdr:twoCellAnchor>
    <xdr:from>
      <xdr:col>14</xdr:col>
      <xdr:colOff>205291</xdr:colOff>
      <xdr:row>35</xdr:row>
      <xdr:rowOff>114299</xdr:rowOff>
    </xdr:from>
    <xdr:to>
      <xdr:col>17</xdr:col>
      <xdr:colOff>439269</xdr:colOff>
      <xdr:row>39</xdr:row>
      <xdr:rowOff>8964</xdr:rowOff>
    </xdr:to>
    <xdr:sp macro="" textlink="">
      <xdr:nvSpPr>
        <xdr:cNvPr id="30" name="Rectangle: Rounded Corners 29">
          <a:extLst>
            <a:ext uri="{FF2B5EF4-FFF2-40B4-BE49-F238E27FC236}">
              <a16:creationId xmlns:a16="http://schemas.microsoft.com/office/drawing/2014/main" id="{4783AB20-82F3-4A0F-9FF7-A1F123BAF927}"/>
            </a:ext>
          </a:extLst>
        </xdr:cNvPr>
        <xdr:cNvSpPr/>
      </xdr:nvSpPr>
      <xdr:spPr>
        <a:xfrm>
          <a:off x="8739691" y="6389593"/>
          <a:ext cx="2062778" cy="6118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Actionable Insights</a:t>
          </a:r>
        </a:p>
      </xdr:txBody>
    </xdr:sp>
    <xdr:clientData/>
  </xdr:twoCellAnchor>
  <xdr:twoCellAnchor>
    <xdr:from>
      <xdr:col>7</xdr:col>
      <xdr:colOff>322729</xdr:colOff>
      <xdr:row>35</xdr:row>
      <xdr:rowOff>123266</xdr:rowOff>
    </xdr:from>
    <xdr:to>
      <xdr:col>11</xdr:col>
      <xdr:colOff>188258</xdr:colOff>
      <xdr:row>39</xdr:row>
      <xdr:rowOff>44823</xdr:rowOff>
    </xdr:to>
    <xdr:sp macro="" textlink="">
      <xdr:nvSpPr>
        <xdr:cNvPr id="31" name="Rectangle: Rounded Corners 30">
          <a:extLst>
            <a:ext uri="{FF2B5EF4-FFF2-40B4-BE49-F238E27FC236}">
              <a16:creationId xmlns:a16="http://schemas.microsoft.com/office/drawing/2014/main" id="{E4079D06-7C1A-40E3-84D8-D57BB320685A}"/>
            </a:ext>
          </a:extLst>
        </xdr:cNvPr>
        <xdr:cNvSpPr/>
      </xdr:nvSpPr>
      <xdr:spPr>
        <a:xfrm>
          <a:off x="4589929" y="6398560"/>
          <a:ext cx="2303929" cy="6387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        Easy to understand</a:t>
          </a:r>
        </a:p>
        <a:p>
          <a:pPr marL="0" indent="0" algn="ctr"/>
          <a:r>
            <a:rPr lang="en-IN" sz="1200">
              <a:solidFill>
                <a:schemeClr val="tx1"/>
              </a:solidFill>
              <a:latin typeface="+mn-lt"/>
              <a:ea typeface="+mn-ea"/>
              <a:cs typeface="+mn-cs"/>
            </a:rPr>
            <a:t>      visual</a:t>
          </a:r>
        </a:p>
      </xdr:txBody>
    </xdr:sp>
    <xdr:clientData/>
  </xdr:twoCellAnchor>
  <xdr:twoCellAnchor editAs="oneCell">
    <xdr:from>
      <xdr:col>9</xdr:col>
      <xdr:colOff>349624</xdr:colOff>
      <xdr:row>7</xdr:row>
      <xdr:rowOff>71717</xdr:rowOff>
    </xdr:from>
    <xdr:to>
      <xdr:col>11</xdr:col>
      <xdr:colOff>8965</xdr:colOff>
      <xdr:row>12</xdr:row>
      <xdr:rowOff>53788</xdr:rowOff>
    </xdr:to>
    <xdr:pic>
      <xdr:nvPicPr>
        <xdr:cNvPr id="46" name="Graphic 45" descr="Exclamation mark">
          <a:extLst>
            <a:ext uri="{FF2B5EF4-FFF2-40B4-BE49-F238E27FC236}">
              <a16:creationId xmlns:a16="http://schemas.microsoft.com/office/drawing/2014/main" id="{98FF8BA8-2CF9-EEAE-8905-7E6C80303A9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6"/>
            </a:ext>
          </a:extLst>
        </a:blip>
        <a:stretch>
          <a:fillRect/>
        </a:stretch>
      </xdr:blipFill>
      <xdr:spPr>
        <a:xfrm>
          <a:off x="5836024" y="1326776"/>
          <a:ext cx="878541" cy="878541"/>
        </a:xfrm>
        <a:prstGeom prst="rect">
          <a:avLst/>
        </a:prstGeom>
      </xdr:spPr>
    </xdr:pic>
    <xdr:clientData/>
  </xdr:twoCellAnchor>
  <xdr:twoCellAnchor editAs="oneCell">
    <xdr:from>
      <xdr:col>7</xdr:col>
      <xdr:colOff>349624</xdr:colOff>
      <xdr:row>32</xdr:row>
      <xdr:rowOff>44822</xdr:rowOff>
    </xdr:from>
    <xdr:to>
      <xdr:col>8</xdr:col>
      <xdr:colOff>188261</xdr:colOff>
      <xdr:row>34</xdr:row>
      <xdr:rowOff>134471</xdr:rowOff>
    </xdr:to>
    <xdr:pic>
      <xdr:nvPicPr>
        <xdr:cNvPr id="53" name="Graphic 52" descr="Monitor">
          <a:extLst>
            <a:ext uri="{FF2B5EF4-FFF2-40B4-BE49-F238E27FC236}">
              <a16:creationId xmlns:a16="http://schemas.microsoft.com/office/drawing/2014/main" id="{36A6DF05-EFDE-D7D6-8D44-CA19D39D0A9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616824" y="5782234"/>
          <a:ext cx="448237" cy="448237"/>
        </a:xfrm>
        <a:prstGeom prst="rect">
          <a:avLst/>
        </a:prstGeom>
      </xdr:spPr>
    </xdr:pic>
    <xdr:clientData/>
  </xdr:twoCellAnchor>
  <xdr:twoCellAnchor editAs="oneCell">
    <xdr:from>
      <xdr:col>14</xdr:col>
      <xdr:colOff>176892</xdr:colOff>
      <xdr:row>31</xdr:row>
      <xdr:rowOff>167928</xdr:rowOff>
    </xdr:from>
    <xdr:to>
      <xdr:col>15</xdr:col>
      <xdr:colOff>35857</xdr:colOff>
      <xdr:row>34</xdr:row>
      <xdr:rowOff>98611</xdr:rowOff>
    </xdr:to>
    <xdr:pic>
      <xdr:nvPicPr>
        <xdr:cNvPr id="55" name="Graphic 54" descr="Filter">
          <a:extLst>
            <a:ext uri="{FF2B5EF4-FFF2-40B4-BE49-F238E27FC236}">
              <a16:creationId xmlns:a16="http://schemas.microsoft.com/office/drawing/2014/main" id="{C8D3CE9B-CB04-073B-62FE-E7CAA819EE3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711292" y="5726046"/>
          <a:ext cx="468565" cy="468565"/>
        </a:xfrm>
        <a:prstGeom prst="rect">
          <a:avLst/>
        </a:prstGeom>
      </xdr:spPr>
    </xdr:pic>
    <xdr:clientData/>
  </xdr:twoCellAnchor>
  <xdr:twoCellAnchor editAs="oneCell">
    <xdr:from>
      <xdr:col>7</xdr:col>
      <xdr:colOff>479294</xdr:colOff>
      <xdr:row>36</xdr:row>
      <xdr:rowOff>22095</xdr:rowOff>
    </xdr:from>
    <xdr:to>
      <xdr:col>8</xdr:col>
      <xdr:colOff>385483</xdr:colOff>
      <xdr:row>39</xdr:row>
      <xdr:rowOff>1</xdr:rowOff>
    </xdr:to>
    <xdr:pic>
      <xdr:nvPicPr>
        <xdr:cNvPr id="57" name="Graphic 56" descr="Bar graph with upward trend">
          <a:extLst>
            <a:ext uri="{FF2B5EF4-FFF2-40B4-BE49-F238E27FC236}">
              <a16:creationId xmlns:a16="http://schemas.microsoft.com/office/drawing/2014/main" id="{84FF45E8-160C-8D47-2D4B-64F01858EB5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746494" y="6476683"/>
          <a:ext cx="515789" cy="515789"/>
        </a:xfrm>
        <a:prstGeom prst="rect">
          <a:avLst/>
        </a:prstGeom>
      </xdr:spPr>
    </xdr:pic>
    <xdr:clientData/>
  </xdr:twoCellAnchor>
  <xdr:twoCellAnchor editAs="oneCell">
    <xdr:from>
      <xdr:col>14</xdr:col>
      <xdr:colOff>207952</xdr:colOff>
      <xdr:row>35</xdr:row>
      <xdr:rowOff>172096</xdr:rowOff>
    </xdr:from>
    <xdr:to>
      <xdr:col>15</xdr:col>
      <xdr:colOff>62752</xdr:colOff>
      <xdr:row>38</xdr:row>
      <xdr:rowOff>98614</xdr:rowOff>
    </xdr:to>
    <xdr:pic>
      <xdr:nvPicPr>
        <xdr:cNvPr id="59" name="Graphic 58" descr="Lightbulb and gear">
          <a:extLst>
            <a:ext uri="{FF2B5EF4-FFF2-40B4-BE49-F238E27FC236}">
              <a16:creationId xmlns:a16="http://schemas.microsoft.com/office/drawing/2014/main" id="{9E1436FF-4942-EB07-B381-3BEC4F6D719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742352" y="6447390"/>
          <a:ext cx="464400" cy="46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9413</xdr:colOff>
      <xdr:row>0</xdr:row>
      <xdr:rowOff>52889</xdr:rowOff>
    </xdr:from>
    <xdr:to>
      <xdr:col>25</xdr:col>
      <xdr:colOff>134471</xdr:colOff>
      <xdr:row>42</xdr:row>
      <xdr:rowOff>26893</xdr:rowOff>
    </xdr:to>
    <xdr:sp macro="" textlink="">
      <xdr:nvSpPr>
        <xdr:cNvPr id="2" name="Rectangle 1">
          <a:extLst>
            <a:ext uri="{FF2B5EF4-FFF2-40B4-BE49-F238E27FC236}">
              <a16:creationId xmlns:a16="http://schemas.microsoft.com/office/drawing/2014/main" id="{EBFA5782-C5C0-4040-BAB0-725EA54EE051}"/>
            </a:ext>
          </a:extLst>
        </xdr:cNvPr>
        <xdr:cNvSpPr/>
      </xdr:nvSpPr>
      <xdr:spPr>
        <a:xfrm>
          <a:off x="619013" y="52889"/>
          <a:ext cx="14755458" cy="764734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b="1">
            <a:solidFill>
              <a:schemeClr val="accent1"/>
            </a:solidFill>
            <a:latin typeface="+mn-lt"/>
            <a:ea typeface="+mn-ea"/>
            <a:cs typeface="+mn-cs"/>
          </a:endParaRPr>
        </a:p>
      </xdr:txBody>
    </xdr:sp>
    <xdr:clientData/>
  </xdr:twoCellAnchor>
  <xdr:twoCellAnchor>
    <xdr:from>
      <xdr:col>1</xdr:col>
      <xdr:colOff>8964</xdr:colOff>
      <xdr:row>0</xdr:row>
      <xdr:rowOff>26894</xdr:rowOff>
    </xdr:from>
    <xdr:to>
      <xdr:col>25</xdr:col>
      <xdr:colOff>125506</xdr:colOff>
      <xdr:row>4</xdr:row>
      <xdr:rowOff>170330</xdr:rowOff>
    </xdr:to>
    <xdr:sp macro="" textlink="">
      <xdr:nvSpPr>
        <xdr:cNvPr id="3" name="Rectangle: Rounded Corners 2">
          <a:extLst>
            <a:ext uri="{FF2B5EF4-FFF2-40B4-BE49-F238E27FC236}">
              <a16:creationId xmlns:a16="http://schemas.microsoft.com/office/drawing/2014/main" id="{B15E9F80-DA74-4E1D-BADF-91EAE8F5F57A}"/>
            </a:ext>
          </a:extLst>
        </xdr:cNvPr>
        <xdr:cNvSpPr/>
      </xdr:nvSpPr>
      <xdr:spPr>
        <a:xfrm>
          <a:off x="618564" y="26894"/>
          <a:ext cx="14746942" cy="874956"/>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8964</xdr:colOff>
      <xdr:row>4</xdr:row>
      <xdr:rowOff>161364</xdr:rowOff>
    </xdr:from>
    <xdr:to>
      <xdr:col>3</xdr:col>
      <xdr:colOff>541468</xdr:colOff>
      <xdr:row>42</xdr:row>
      <xdr:rowOff>53788</xdr:rowOff>
    </xdr:to>
    <xdr:sp macro="" textlink="">
      <xdr:nvSpPr>
        <xdr:cNvPr id="4" name="Rectangle: Rounded Corners 3">
          <a:extLst>
            <a:ext uri="{FF2B5EF4-FFF2-40B4-BE49-F238E27FC236}">
              <a16:creationId xmlns:a16="http://schemas.microsoft.com/office/drawing/2014/main" id="{1156F9B5-D398-474C-8F84-AB7E78AB1356}"/>
            </a:ext>
          </a:extLst>
        </xdr:cNvPr>
        <xdr:cNvSpPr/>
      </xdr:nvSpPr>
      <xdr:spPr>
        <a:xfrm>
          <a:off x="618564" y="892884"/>
          <a:ext cx="1751704" cy="6834244"/>
        </a:xfrm>
        <a:prstGeom prst="roundRect">
          <a:avLst>
            <a:gd name="adj" fmla="val 20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xdr:row>
      <xdr:rowOff>144780</xdr:rowOff>
    </xdr:from>
    <xdr:to>
      <xdr:col>16</xdr:col>
      <xdr:colOff>160020</xdr:colOff>
      <xdr:row>4</xdr:row>
      <xdr:rowOff>38100</xdr:rowOff>
    </xdr:to>
    <xdr:sp macro="" textlink="">
      <xdr:nvSpPr>
        <xdr:cNvPr id="5" name="Rectangle: Rounded Corners 4">
          <a:extLst>
            <a:ext uri="{FF2B5EF4-FFF2-40B4-BE49-F238E27FC236}">
              <a16:creationId xmlns:a16="http://schemas.microsoft.com/office/drawing/2014/main" id="{4F183BD2-3953-4CFC-8A6D-E6D6DFDCA1C5}"/>
            </a:ext>
          </a:extLst>
        </xdr:cNvPr>
        <xdr:cNvSpPr/>
      </xdr:nvSpPr>
      <xdr:spPr>
        <a:xfrm>
          <a:off x="3543300" y="327660"/>
          <a:ext cx="6370320" cy="441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n-lt"/>
            </a:rPr>
            <a:t>                                       EMPLOYEE</a:t>
          </a:r>
          <a:r>
            <a:rPr lang="en-IN" sz="2000" b="1" baseline="0">
              <a:latin typeface="+mn-lt"/>
            </a:rPr>
            <a:t> DETAILS</a:t>
          </a:r>
          <a:endParaRPr lang="en-IN" sz="2000" b="1">
            <a:latin typeface="+mn-lt"/>
          </a:endParaRPr>
        </a:p>
      </xdr:txBody>
    </xdr:sp>
    <xdr:clientData/>
  </xdr:twoCellAnchor>
  <xdr:twoCellAnchor>
    <xdr:from>
      <xdr:col>1</xdr:col>
      <xdr:colOff>137160</xdr:colOff>
      <xdr:row>1</xdr:row>
      <xdr:rowOff>53340</xdr:rowOff>
    </xdr:from>
    <xdr:to>
      <xdr:col>4</xdr:col>
      <xdr:colOff>83820</xdr:colOff>
      <xdr:row>4</xdr:row>
      <xdr:rowOff>83820</xdr:rowOff>
    </xdr:to>
    <xdr:sp macro="" textlink="">
      <xdr:nvSpPr>
        <xdr:cNvPr id="6" name="Rectangle: Rounded Corners 5">
          <a:extLst>
            <a:ext uri="{FF2B5EF4-FFF2-40B4-BE49-F238E27FC236}">
              <a16:creationId xmlns:a16="http://schemas.microsoft.com/office/drawing/2014/main" id="{ABC18734-F21A-412E-97E5-81855087841D}"/>
            </a:ext>
          </a:extLst>
        </xdr:cNvPr>
        <xdr:cNvSpPr/>
      </xdr:nvSpPr>
      <xdr:spPr>
        <a:xfrm>
          <a:off x="746760" y="236220"/>
          <a:ext cx="1775460" cy="579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200" b="1"/>
            <a:t>ABC  </a:t>
          </a:r>
        </a:p>
        <a:p>
          <a:pPr algn="l"/>
          <a:r>
            <a:rPr lang="en-IN" sz="1200"/>
            <a:t>                TECHNOLOGIES</a:t>
          </a:r>
        </a:p>
      </xdr:txBody>
    </xdr:sp>
    <xdr:clientData/>
  </xdr:twoCellAnchor>
  <xdr:twoCellAnchor editAs="oneCell">
    <xdr:from>
      <xdr:col>1</xdr:col>
      <xdr:colOff>137160</xdr:colOff>
      <xdr:row>1</xdr:row>
      <xdr:rowOff>45720</xdr:rowOff>
    </xdr:from>
    <xdr:to>
      <xdr:col>2</xdr:col>
      <xdr:colOff>152400</xdr:colOff>
      <xdr:row>4</xdr:row>
      <xdr:rowOff>121920</xdr:rowOff>
    </xdr:to>
    <xdr:pic>
      <xdr:nvPicPr>
        <xdr:cNvPr id="7" name="Graphic 6" descr="Users">
          <a:extLst>
            <a:ext uri="{FF2B5EF4-FFF2-40B4-BE49-F238E27FC236}">
              <a16:creationId xmlns:a16="http://schemas.microsoft.com/office/drawing/2014/main" id="{20B7BA46-1168-4DDB-A06C-77C7BC9D2E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228600"/>
          <a:ext cx="624840" cy="624840"/>
        </a:xfrm>
        <a:prstGeom prst="rect">
          <a:avLst/>
        </a:prstGeom>
      </xdr:spPr>
    </xdr:pic>
    <xdr:clientData/>
  </xdr:twoCellAnchor>
  <xdr:twoCellAnchor>
    <xdr:from>
      <xdr:col>1</xdr:col>
      <xdr:colOff>121920</xdr:colOff>
      <xdr:row>6</xdr:row>
      <xdr:rowOff>22860</xdr:rowOff>
    </xdr:from>
    <xdr:to>
      <xdr:col>3</xdr:col>
      <xdr:colOff>335280</xdr:colOff>
      <xdr:row>8</xdr:row>
      <xdr:rowOff>121920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EF2FA586-9A9E-4145-86E2-A74866AF08B0}"/>
            </a:ext>
          </a:extLst>
        </xdr:cNvPr>
        <xdr:cNvSpPr/>
      </xdr:nvSpPr>
      <xdr:spPr>
        <a:xfrm>
          <a:off x="731520" y="1112520"/>
          <a:ext cx="143256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Overview</a:t>
          </a:r>
        </a:p>
      </xdr:txBody>
    </xdr:sp>
    <xdr:clientData/>
  </xdr:twoCellAnchor>
  <xdr:twoCellAnchor>
    <xdr:from>
      <xdr:col>1</xdr:col>
      <xdr:colOff>106680</xdr:colOff>
      <xdr:row>9</xdr:row>
      <xdr:rowOff>30480</xdr:rowOff>
    </xdr:from>
    <xdr:to>
      <xdr:col>3</xdr:col>
      <xdr:colOff>312420</xdr:colOff>
      <xdr:row>11</xdr:row>
      <xdr:rowOff>160020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A4CD2832-6E66-4258-B43B-150C17296829}"/>
            </a:ext>
          </a:extLst>
        </xdr:cNvPr>
        <xdr:cNvSpPr/>
      </xdr:nvSpPr>
      <xdr:spPr>
        <a:xfrm>
          <a:off x="716280" y="1668780"/>
          <a:ext cx="14249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Department</a:t>
          </a:r>
        </a:p>
      </xdr:txBody>
    </xdr:sp>
    <xdr:clientData/>
  </xdr:twoCellAnchor>
  <xdr:twoCellAnchor>
    <xdr:from>
      <xdr:col>1</xdr:col>
      <xdr:colOff>106680</xdr:colOff>
      <xdr:row>12</xdr:row>
      <xdr:rowOff>114300</xdr:rowOff>
    </xdr:from>
    <xdr:to>
      <xdr:col>3</xdr:col>
      <xdr:colOff>342900</xdr:colOff>
      <xdr:row>15</xdr:row>
      <xdr:rowOff>30480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75B23ED0-AF6C-4E6D-B379-5BC705D6F56F}"/>
            </a:ext>
          </a:extLst>
        </xdr:cNvPr>
        <xdr:cNvSpPr/>
      </xdr:nvSpPr>
      <xdr:spPr>
        <a:xfrm>
          <a:off x="716280" y="2265829"/>
          <a:ext cx="1455420" cy="4540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t>
          </a:r>
          <a:r>
            <a:rPr lang="en-IN" sz="1200"/>
            <a:t>Salary</a:t>
          </a:r>
          <a:r>
            <a:rPr lang="en-IN" sz="1200" baseline="0"/>
            <a:t> Analysis</a:t>
          </a:r>
          <a:endParaRPr lang="en-IN" sz="1200"/>
        </a:p>
      </xdr:txBody>
    </xdr:sp>
    <xdr:clientData/>
  </xdr:twoCellAnchor>
  <xdr:twoCellAnchor>
    <xdr:from>
      <xdr:col>1</xdr:col>
      <xdr:colOff>129540</xdr:colOff>
      <xdr:row>15</xdr:row>
      <xdr:rowOff>144780</xdr:rowOff>
    </xdr:from>
    <xdr:to>
      <xdr:col>3</xdr:col>
      <xdr:colOff>396240</xdr:colOff>
      <xdr:row>18</xdr:row>
      <xdr:rowOff>137160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F46230F3-D7A1-4A9A-91B0-348541EF5BF4}"/>
            </a:ext>
          </a:extLst>
        </xdr:cNvPr>
        <xdr:cNvSpPr/>
      </xdr:nvSpPr>
      <xdr:spPr>
        <a:xfrm>
          <a:off x="739140" y="2834192"/>
          <a:ext cx="1485900" cy="5302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 </a:t>
          </a:r>
          <a:r>
            <a:rPr lang="en-IN" sz="1200" baseline="0">
              <a:solidFill>
                <a:schemeClr val="tx1"/>
              </a:solidFill>
            </a:rPr>
            <a:t>     Employee Details</a:t>
          </a:r>
          <a:endParaRPr lang="en-IN" sz="1200">
            <a:solidFill>
              <a:schemeClr val="tx1"/>
            </a:solidFill>
          </a:endParaRPr>
        </a:p>
      </xdr:txBody>
    </xdr:sp>
    <xdr:clientData/>
  </xdr:twoCellAnchor>
  <xdr:twoCellAnchor>
    <xdr:from>
      <xdr:col>1</xdr:col>
      <xdr:colOff>121920</xdr:colOff>
      <xdr:row>19</xdr:row>
      <xdr:rowOff>45720</xdr:rowOff>
    </xdr:from>
    <xdr:to>
      <xdr:col>3</xdr:col>
      <xdr:colOff>350520</xdr:colOff>
      <xdr:row>21</xdr:row>
      <xdr:rowOff>175260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AB8B5FBC-0646-49B4-9171-4F1E05533FA0}"/>
            </a:ext>
          </a:extLst>
        </xdr:cNvPr>
        <xdr:cNvSpPr/>
      </xdr:nvSpPr>
      <xdr:spPr>
        <a:xfrm>
          <a:off x="731520" y="3512820"/>
          <a:ext cx="14478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About</a:t>
          </a:r>
          <a:endParaRPr lang="en-IN" sz="1200"/>
        </a:p>
      </xdr:txBody>
    </xdr:sp>
    <xdr:clientData/>
  </xdr:twoCellAnchor>
  <xdr:twoCellAnchor editAs="oneCell">
    <xdr:from>
      <xdr:col>1</xdr:col>
      <xdr:colOff>205740</xdr:colOff>
      <xdr:row>6</xdr:row>
      <xdr:rowOff>30480</xdr:rowOff>
    </xdr:from>
    <xdr:to>
      <xdr:col>2</xdr:col>
      <xdr:colOff>22860</xdr:colOff>
      <xdr:row>8</xdr:row>
      <xdr:rowOff>91440</xdr:rowOff>
    </xdr:to>
    <xdr:pic>
      <xdr:nvPicPr>
        <xdr:cNvPr id="13" name="Graphic 12" descr="House">
          <a:extLst>
            <a:ext uri="{FF2B5EF4-FFF2-40B4-BE49-F238E27FC236}">
              <a16:creationId xmlns:a16="http://schemas.microsoft.com/office/drawing/2014/main" id="{93176F28-3D20-4DDB-8F98-C7A531C4224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15340" y="1120140"/>
          <a:ext cx="426720" cy="426720"/>
        </a:xfrm>
        <a:prstGeom prst="rect">
          <a:avLst/>
        </a:prstGeom>
      </xdr:spPr>
    </xdr:pic>
    <xdr:clientData/>
  </xdr:twoCellAnchor>
  <xdr:twoCellAnchor editAs="oneCell">
    <xdr:from>
      <xdr:col>1</xdr:col>
      <xdr:colOff>137160</xdr:colOff>
      <xdr:row>9</xdr:row>
      <xdr:rowOff>91440</xdr:rowOff>
    </xdr:from>
    <xdr:to>
      <xdr:col>1</xdr:col>
      <xdr:colOff>533400</xdr:colOff>
      <xdr:row>11</xdr:row>
      <xdr:rowOff>121920</xdr:rowOff>
    </xdr:to>
    <xdr:pic>
      <xdr:nvPicPr>
        <xdr:cNvPr id="14" name="Graphic 13" descr="Users">
          <a:extLst>
            <a:ext uri="{FF2B5EF4-FFF2-40B4-BE49-F238E27FC236}">
              <a16:creationId xmlns:a16="http://schemas.microsoft.com/office/drawing/2014/main" id="{EDF8F9A7-6BCC-4D6A-A935-0976AD0BE2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1729740"/>
          <a:ext cx="396240" cy="396240"/>
        </a:xfrm>
        <a:prstGeom prst="rect">
          <a:avLst/>
        </a:prstGeom>
      </xdr:spPr>
    </xdr:pic>
    <xdr:clientData/>
  </xdr:twoCellAnchor>
  <xdr:twoCellAnchor editAs="oneCell">
    <xdr:from>
      <xdr:col>1</xdr:col>
      <xdr:colOff>129540</xdr:colOff>
      <xdr:row>12</xdr:row>
      <xdr:rowOff>167640</xdr:rowOff>
    </xdr:from>
    <xdr:to>
      <xdr:col>1</xdr:col>
      <xdr:colOff>525780</xdr:colOff>
      <xdr:row>15</xdr:row>
      <xdr:rowOff>15240</xdr:rowOff>
    </xdr:to>
    <xdr:pic>
      <xdr:nvPicPr>
        <xdr:cNvPr id="15" name="Graphic 14" descr="Rupee">
          <a:extLst>
            <a:ext uri="{FF2B5EF4-FFF2-40B4-BE49-F238E27FC236}">
              <a16:creationId xmlns:a16="http://schemas.microsoft.com/office/drawing/2014/main" id="{E758F85E-C8D1-4D7E-887A-2E74AA285B3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9140" y="2354580"/>
          <a:ext cx="396240" cy="396240"/>
        </a:xfrm>
        <a:prstGeom prst="rect">
          <a:avLst/>
        </a:prstGeom>
      </xdr:spPr>
    </xdr:pic>
    <xdr:clientData/>
  </xdr:twoCellAnchor>
  <xdr:twoCellAnchor editAs="oneCell">
    <xdr:from>
      <xdr:col>1</xdr:col>
      <xdr:colOff>243840</xdr:colOff>
      <xdr:row>16</xdr:row>
      <xdr:rowOff>15240</xdr:rowOff>
    </xdr:from>
    <xdr:to>
      <xdr:col>2</xdr:col>
      <xdr:colOff>38100</xdr:colOff>
      <xdr:row>18</xdr:row>
      <xdr:rowOff>53340</xdr:rowOff>
    </xdr:to>
    <xdr:pic>
      <xdr:nvPicPr>
        <xdr:cNvPr id="16" name="Graphic 15" descr="Office worker">
          <a:extLst>
            <a:ext uri="{FF2B5EF4-FFF2-40B4-BE49-F238E27FC236}">
              <a16:creationId xmlns:a16="http://schemas.microsoft.com/office/drawing/2014/main" id="{522647D6-0771-43B0-A062-9BEF7BB3574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3440" y="2933700"/>
          <a:ext cx="403860" cy="403860"/>
        </a:xfrm>
        <a:prstGeom prst="rect">
          <a:avLst/>
        </a:prstGeom>
      </xdr:spPr>
    </xdr:pic>
    <xdr:clientData/>
  </xdr:twoCellAnchor>
  <xdr:twoCellAnchor editAs="oneCell">
    <xdr:from>
      <xdr:col>1</xdr:col>
      <xdr:colOff>205740</xdr:colOff>
      <xdr:row>19</xdr:row>
      <xdr:rowOff>68580</xdr:rowOff>
    </xdr:from>
    <xdr:to>
      <xdr:col>2</xdr:col>
      <xdr:colOff>22860</xdr:colOff>
      <xdr:row>21</xdr:row>
      <xdr:rowOff>129540</xdr:rowOff>
    </xdr:to>
    <xdr:pic>
      <xdr:nvPicPr>
        <xdr:cNvPr id="17" name="Graphic 16" descr="Exclamation mark">
          <a:extLst>
            <a:ext uri="{FF2B5EF4-FFF2-40B4-BE49-F238E27FC236}">
              <a16:creationId xmlns:a16="http://schemas.microsoft.com/office/drawing/2014/main" id="{413815C5-3E94-42DE-AB60-5AB65ACA055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5340" y="3535680"/>
          <a:ext cx="426720" cy="426720"/>
        </a:xfrm>
        <a:prstGeom prst="rect">
          <a:avLst/>
        </a:prstGeom>
      </xdr:spPr>
    </xdr:pic>
    <xdr:clientData/>
  </xdr:twoCellAnchor>
  <xdr:twoCellAnchor>
    <xdr:from>
      <xdr:col>4</xdr:col>
      <xdr:colOff>50202</xdr:colOff>
      <xdr:row>5</xdr:row>
      <xdr:rowOff>157331</xdr:rowOff>
    </xdr:from>
    <xdr:to>
      <xdr:col>23</xdr:col>
      <xdr:colOff>215152</xdr:colOff>
      <xdr:row>13</xdr:row>
      <xdr:rowOff>62753</xdr:rowOff>
    </xdr:to>
    <xdr:sp macro="" textlink="">
      <xdr:nvSpPr>
        <xdr:cNvPr id="18" name="Rectangle: Rounded Corners 17">
          <a:extLst>
            <a:ext uri="{FF2B5EF4-FFF2-40B4-BE49-F238E27FC236}">
              <a16:creationId xmlns:a16="http://schemas.microsoft.com/office/drawing/2014/main" id="{56AEC75E-842B-4852-A490-029B3A07AD67}"/>
            </a:ext>
          </a:extLst>
        </xdr:cNvPr>
        <xdr:cNvSpPr/>
      </xdr:nvSpPr>
      <xdr:spPr>
        <a:xfrm>
          <a:off x="2488602" y="1053802"/>
          <a:ext cx="11747350" cy="1339775"/>
        </a:xfrm>
        <a:prstGeom prst="roundRect">
          <a:avLst>
            <a:gd name="adj" fmla="val 11761"/>
          </a:avLst>
        </a:prstGeom>
        <a:solidFill>
          <a:schemeClr val="accent4">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200"/>
        </a:p>
      </xdr:txBody>
    </xdr:sp>
    <xdr:clientData/>
  </xdr:twoCellAnchor>
  <xdr:twoCellAnchor>
    <xdr:from>
      <xdr:col>9</xdr:col>
      <xdr:colOff>143435</xdr:colOff>
      <xdr:row>8</xdr:row>
      <xdr:rowOff>17931</xdr:rowOff>
    </xdr:from>
    <xdr:to>
      <xdr:col>16</xdr:col>
      <xdr:colOff>8965</xdr:colOff>
      <xdr:row>11</xdr:row>
      <xdr:rowOff>98612</xdr:rowOff>
    </xdr:to>
    <xdr:sp macro="" textlink="">
      <xdr:nvSpPr>
        <xdr:cNvPr id="19" name="Rectangle 18">
          <a:extLst>
            <a:ext uri="{FF2B5EF4-FFF2-40B4-BE49-F238E27FC236}">
              <a16:creationId xmlns:a16="http://schemas.microsoft.com/office/drawing/2014/main" id="{54F1A356-67AE-4586-9130-12730B235E4C}"/>
            </a:ext>
          </a:extLst>
        </xdr:cNvPr>
        <xdr:cNvSpPr/>
      </xdr:nvSpPr>
      <xdr:spPr>
        <a:xfrm>
          <a:off x="5629835" y="1473351"/>
          <a:ext cx="4132730" cy="6293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This section</a:t>
          </a:r>
          <a:r>
            <a:rPr lang="en-IN" sz="1400" b="1" baseline="0">
              <a:solidFill>
                <a:schemeClr val="tx1"/>
              </a:solidFill>
            </a:rPr>
            <a:t> contains detail </a:t>
          </a:r>
        </a:p>
        <a:p>
          <a:pPr algn="ctr"/>
          <a:r>
            <a:rPr lang="en-IN" sz="1400" b="1" baseline="0">
              <a:solidFill>
                <a:schemeClr val="tx1"/>
              </a:solidFill>
            </a:rPr>
            <a:t>information about employees</a:t>
          </a:r>
        </a:p>
        <a:p>
          <a:pPr algn="ctr"/>
          <a:endParaRPr lang="en-IN" sz="1400" b="1">
            <a:solidFill>
              <a:schemeClr val="tx1"/>
            </a:solidFill>
          </a:endParaRPr>
        </a:p>
      </xdr:txBody>
    </xdr:sp>
    <xdr:clientData/>
  </xdr:twoCellAnchor>
  <xdr:twoCellAnchor>
    <xdr:from>
      <xdr:col>7</xdr:col>
      <xdr:colOff>448682</xdr:colOff>
      <xdr:row>15</xdr:row>
      <xdr:rowOff>169431</xdr:rowOff>
    </xdr:from>
    <xdr:to>
      <xdr:col>17</xdr:col>
      <xdr:colOff>295835</xdr:colOff>
      <xdr:row>26</xdr:row>
      <xdr:rowOff>107577</xdr:rowOff>
    </xdr:to>
    <xdr:sp macro="" textlink="">
      <xdr:nvSpPr>
        <xdr:cNvPr id="20" name="Rectangle: Rounded Corners 19">
          <a:extLst>
            <a:ext uri="{FF2B5EF4-FFF2-40B4-BE49-F238E27FC236}">
              <a16:creationId xmlns:a16="http://schemas.microsoft.com/office/drawing/2014/main" id="{CF24A699-6015-4AB6-9E70-89CFB9FAE705}"/>
            </a:ext>
          </a:extLst>
        </xdr:cNvPr>
        <xdr:cNvSpPr/>
      </xdr:nvSpPr>
      <xdr:spPr>
        <a:xfrm>
          <a:off x="4715882" y="2905011"/>
          <a:ext cx="5943153" cy="1949826"/>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baseline="0">
            <a:solidFill>
              <a:schemeClr val="tx1"/>
            </a:solidFill>
          </a:endParaRPr>
        </a:p>
        <a:p>
          <a:pPr algn="l"/>
          <a:endParaRPr lang="en-IN" sz="1400" b="1" baseline="0">
            <a:solidFill>
              <a:schemeClr val="tx1"/>
            </a:solidFill>
          </a:endParaRPr>
        </a:p>
        <a:p>
          <a:pPr algn="l"/>
          <a:endParaRPr lang="en-IN" sz="1400" b="1" baseline="0">
            <a:solidFill>
              <a:schemeClr val="tx1"/>
            </a:solidFill>
          </a:endParaRPr>
        </a:p>
        <a:p>
          <a:pPr algn="l"/>
          <a:r>
            <a:rPr lang="en-IN" sz="1400" b="1" baseline="0">
              <a:solidFill>
                <a:schemeClr val="tx1"/>
              </a:solidFill>
            </a:rPr>
            <a:t>-&gt; Comprehensive employee records</a:t>
          </a:r>
        </a:p>
        <a:p>
          <a:pPr algn="l"/>
          <a:endParaRPr lang="en-IN" sz="1400" b="1" baseline="0">
            <a:solidFill>
              <a:schemeClr val="tx1"/>
            </a:solidFill>
          </a:endParaRPr>
        </a:p>
        <a:p>
          <a:pPr algn="l"/>
          <a:r>
            <a:rPr lang="en-IN" sz="1400" b="1" baseline="0">
              <a:solidFill>
                <a:schemeClr val="tx1"/>
              </a:solidFill>
            </a:rPr>
            <a:t>-&gt; Personal job, and  organizational detail</a:t>
          </a:r>
        </a:p>
        <a:p>
          <a:pPr algn="l"/>
          <a:endParaRPr lang="en-IN" sz="1400" b="1" baseline="0">
            <a:solidFill>
              <a:schemeClr val="tx1"/>
            </a:solidFill>
          </a:endParaRPr>
        </a:p>
        <a:p>
          <a:pPr algn="l"/>
          <a:r>
            <a:rPr lang="en-IN" sz="1400" b="1" baseline="0">
              <a:solidFill>
                <a:schemeClr val="tx1"/>
              </a:solidFill>
            </a:rPr>
            <a:t>-&gt; Helps in employee management</a:t>
          </a:r>
          <a:endParaRPr lang="en-IN" sz="1400" b="1">
            <a:solidFill>
              <a:schemeClr val="tx1"/>
            </a:solidFill>
          </a:endParaRPr>
        </a:p>
      </xdr:txBody>
    </xdr:sp>
    <xdr:clientData/>
  </xdr:twoCellAnchor>
  <xdr:twoCellAnchor>
    <xdr:from>
      <xdr:col>7</xdr:col>
      <xdr:colOff>457648</xdr:colOff>
      <xdr:row>15</xdr:row>
      <xdr:rowOff>170329</xdr:rowOff>
    </xdr:from>
    <xdr:to>
      <xdr:col>17</xdr:col>
      <xdr:colOff>304800</xdr:colOff>
      <xdr:row>18</xdr:row>
      <xdr:rowOff>125507</xdr:rowOff>
    </xdr:to>
    <xdr:sp macro="" textlink="">
      <xdr:nvSpPr>
        <xdr:cNvPr id="21" name="Rectangle: Rounded Corners 20">
          <a:extLst>
            <a:ext uri="{FF2B5EF4-FFF2-40B4-BE49-F238E27FC236}">
              <a16:creationId xmlns:a16="http://schemas.microsoft.com/office/drawing/2014/main" id="{29694D78-3FC9-4B93-8041-FB095EDD3583}"/>
            </a:ext>
          </a:extLst>
        </xdr:cNvPr>
        <xdr:cNvSpPr/>
      </xdr:nvSpPr>
      <xdr:spPr>
        <a:xfrm>
          <a:off x="4724848" y="2905909"/>
          <a:ext cx="5943152" cy="503818"/>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bg1"/>
            </a:solidFill>
          </a:endParaRPr>
        </a:p>
      </xdr:txBody>
    </xdr:sp>
    <xdr:clientData/>
  </xdr:twoCellAnchor>
  <xdr:twoCellAnchor>
    <xdr:from>
      <xdr:col>9</xdr:col>
      <xdr:colOff>331695</xdr:colOff>
      <xdr:row>16</xdr:row>
      <xdr:rowOff>44823</xdr:rowOff>
    </xdr:from>
    <xdr:to>
      <xdr:col>16</xdr:col>
      <xdr:colOff>188259</xdr:colOff>
      <xdr:row>18</xdr:row>
      <xdr:rowOff>35859</xdr:rowOff>
    </xdr:to>
    <xdr:sp macro="" textlink="">
      <xdr:nvSpPr>
        <xdr:cNvPr id="22" name="Rectangle: Rounded Corners 21">
          <a:extLst>
            <a:ext uri="{FF2B5EF4-FFF2-40B4-BE49-F238E27FC236}">
              <a16:creationId xmlns:a16="http://schemas.microsoft.com/office/drawing/2014/main" id="{ADC20D11-6DBB-46B1-B03E-C482C1CF0B48}"/>
            </a:ext>
          </a:extLst>
        </xdr:cNvPr>
        <xdr:cNvSpPr/>
      </xdr:nvSpPr>
      <xdr:spPr>
        <a:xfrm>
          <a:off x="5818095" y="2963283"/>
          <a:ext cx="4123764" cy="3567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Key Insights :</a:t>
          </a:r>
        </a:p>
      </xdr:txBody>
    </xdr:sp>
    <xdr:clientData/>
  </xdr:twoCellAnchor>
  <xdr:twoCellAnchor>
    <xdr:from>
      <xdr:col>4</xdr:col>
      <xdr:colOff>367553</xdr:colOff>
      <xdr:row>30</xdr:row>
      <xdr:rowOff>0</xdr:rowOff>
    </xdr:from>
    <xdr:to>
      <xdr:col>11</xdr:col>
      <xdr:colOff>62753</xdr:colOff>
      <xdr:row>32</xdr:row>
      <xdr:rowOff>107577</xdr:rowOff>
    </xdr:to>
    <xdr:sp macro="" textlink="">
      <xdr:nvSpPr>
        <xdr:cNvPr id="23" name="Rectangle: Rounded Corners 22">
          <a:extLst>
            <a:ext uri="{FF2B5EF4-FFF2-40B4-BE49-F238E27FC236}">
              <a16:creationId xmlns:a16="http://schemas.microsoft.com/office/drawing/2014/main" id="{DBC92750-302A-4691-9396-2A6B2B6BB686}"/>
            </a:ext>
          </a:extLst>
        </xdr:cNvPr>
        <xdr:cNvSpPr/>
      </xdr:nvSpPr>
      <xdr:spPr>
        <a:xfrm>
          <a:off x="2805953" y="5478780"/>
          <a:ext cx="3962400" cy="4733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  </a:t>
          </a:r>
        </a:p>
      </xdr:txBody>
    </xdr:sp>
    <xdr:clientData/>
  </xdr:twoCellAnchor>
  <xdr:twoCellAnchor>
    <xdr:from>
      <xdr:col>5</xdr:col>
      <xdr:colOff>44823</xdr:colOff>
      <xdr:row>28</xdr:row>
      <xdr:rowOff>88750</xdr:rowOff>
    </xdr:from>
    <xdr:to>
      <xdr:col>22</xdr:col>
      <xdr:colOff>591670</xdr:colOff>
      <xdr:row>41</xdr:row>
      <xdr:rowOff>26893</xdr:rowOff>
    </xdr:to>
    <xdr:sp macro="" textlink="">
      <xdr:nvSpPr>
        <xdr:cNvPr id="25" name="Rectangle: Rounded Corners 24">
          <a:extLst>
            <a:ext uri="{FF2B5EF4-FFF2-40B4-BE49-F238E27FC236}">
              <a16:creationId xmlns:a16="http://schemas.microsoft.com/office/drawing/2014/main" id="{4C79AC85-158B-4DBB-A10A-E360CC833247}"/>
            </a:ext>
          </a:extLst>
        </xdr:cNvPr>
        <xdr:cNvSpPr/>
      </xdr:nvSpPr>
      <xdr:spPr>
        <a:xfrm>
          <a:off x="3092823" y="5108985"/>
          <a:ext cx="10910047" cy="2268967"/>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000" b="1" baseline="0">
            <a:solidFill>
              <a:schemeClr val="tx1"/>
            </a:solidFill>
          </a:endParaRPr>
        </a:p>
      </xdr:txBody>
    </xdr:sp>
    <xdr:clientData/>
  </xdr:twoCellAnchor>
  <xdr:twoCellAnchor>
    <xdr:from>
      <xdr:col>5</xdr:col>
      <xdr:colOff>36307</xdr:colOff>
      <xdr:row>28</xdr:row>
      <xdr:rowOff>107578</xdr:rowOff>
    </xdr:from>
    <xdr:to>
      <xdr:col>22</xdr:col>
      <xdr:colOff>573741</xdr:colOff>
      <xdr:row>31</xdr:row>
      <xdr:rowOff>1</xdr:rowOff>
    </xdr:to>
    <xdr:sp macro="" textlink="">
      <xdr:nvSpPr>
        <xdr:cNvPr id="26" name="Rectangle: Rounded Corners 25">
          <a:extLst>
            <a:ext uri="{FF2B5EF4-FFF2-40B4-BE49-F238E27FC236}">
              <a16:creationId xmlns:a16="http://schemas.microsoft.com/office/drawing/2014/main" id="{A8520F9F-C394-44DC-8FED-EB63589AA016}"/>
            </a:ext>
          </a:extLst>
        </xdr:cNvPr>
        <xdr:cNvSpPr/>
      </xdr:nvSpPr>
      <xdr:spPr>
        <a:xfrm>
          <a:off x="3084307" y="5127813"/>
          <a:ext cx="10900634" cy="430306"/>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lumMod val="95000"/>
                </a:schemeClr>
              </a:solidFill>
            </a:rPr>
            <a:t>  Data</a:t>
          </a:r>
          <a:r>
            <a:rPr lang="en-IN" sz="1800" b="1" baseline="0">
              <a:solidFill>
                <a:schemeClr val="bg1">
                  <a:lumMod val="95000"/>
                </a:schemeClr>
              </a:solidFill>
            </a:rPr>
            <a:t> Includes :</a:t>
          </a:r>
          <a:endParaRPr lang="en-IN" sz="1800" b="1">
            <a:solidFill>
              <a:schemeClr val="bg1">
                <a:lumMod val="95000"/>
              </a:schemeClr>
            </a:solidFill>
          </a:endParaRPr>
        </a:p>
      </xdr:txBody>
    </xdr:sp>
    <xdr:clientData/>
  </xdr:twoCellAnchor>
  <xdr:twoCellAnchor editAs="oneCell">
    <xdr:from>
      <xdr:col>9</xdr:col>
      <xdr:colOff>89647</xdr:colOff>
      <xdr:row>7</xdr:row>
      <xdr:rowOff>26894</xdr:rowOff>
    </xdr:from>
    <xdr:to>
      <xdr:col>10</xdr:col>
      <xdr:colOff>358588</xdr:colOff>
      <xdr:row>12</xdr:row>
      <xdr:rowOff>8965</xdr:rowOff>
    </xdr:to>
    <xdr:pic>
      <xdr:nvPicPr>
        <xdr:cNvPr id="29" name="Graphic 28" descr="Employee badge">
          <a:extLst>
            <a:ext uri="{FF2B5EF4-FFF2-40B4-BE49-F238E27FC236}">
              <a16:creationId xmlns:a16="http://schemas.microsoft.com/office/drawing/2014/main" id="{856F4902-1404-1A64-D36A-EB25B5D1F50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576047" y="1281953"/>
          <a:ext cx="878541" cy="878541"/>
        </a:xfrm>
        <a:prstGeom prst="rect">
          <a:avLst/>
        </a:prstGeom>
      </xdr:spPr>
    </xdr:pic>
    <xdr:clientData/>
  </xdr:twoCellAnchor>
  <xdr:twoCellAnchor>
    <xdr:from>
      <xdr:col>5</xdr:col>
      <xdr:colOff>205292</xdr:colOff>
      <xdr:row>31</xdr:row>
      <xdr:rowOff>114299</xdr:rowOff>
    </xdr:from>
    <xdr:to>
      <xdr:col>8</xdr:col>
      <xdr:colOff>439270</xdr:colOff>
      <xdr:row>34</xdr:row>
      <xdr:rowOff>30480</xdr:rowOff>
    </xdr:to>
    <xdr:sp macro="" textlink="">
      <xdr:nvSpPr>
        <xdr:cNvPr id="30" name="Rectangle: Rounded Corners 29">
          <a:extLst>
            <a:ext uri="{FF2B5EF4-FFF2-40B4-BE49-F238E27FC236}">
              <a16:creationId xmlns:a16="http://schemas.microsoft.com/office/drawing/2014/main" id="{D28AF55C-3192-4EB9-5CA0-6E6B61F67EFB}"/>
            </a:ext>
          </a:extLst>
        </xdr:cNvPr>
        <xdr:cNvSpPr/>
      </xdr:nvSpPr>
      <xdr:spPr>
        <a:xfrm>
          <a:off x="3253292" y="5672417"/>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 </a:t>
          </a:r>
          <a:r>
            <a:rPr lang="en-IN" sz="1200" baseline="0">
              <a:solidFill>
                <a:schemeClr val="tx1"/>
              </a:solidFill>
            </a:rPr>
            <a:t>     Emplyee ID</a:t>
          </a:r>
          <a:endParaRPr lang="en-IN" sz="1200">
            <a:solidFill>
              <a:schemeClr val="tx1"/>
            </a:solidFill>
          </a:endParaRPr>
        </a:p>
      </xdr:txBody>
    </xdr:sp>
    <xdr:clientData/>
  </xdr:twoCellAnchor>
  <xdr:twoCellAnchor>
    <xdr:from>
      <xdr:col>11</xdr:col>
      <xdr:colOff>250115</xdr:colOff>
      <xdr:row>31</xdr:row>
      <xdr:rowOff>114299</xdr:rowOff>
    </xdr:from>
    <xdr:to>
      <xdr:col>14</xdr:col>
      <xdr:colOff>484093</xdr:colOff>
      <xdr:row>34</xdr:row>
      <xdr:rowOff>30480</xdr:rowOff>
    </xdr:to>
    <xdr:sp macro="" textlink="">
      <xdr:nvSpPr>
        <xdr:cNvPr id="31" name="Rectangle: Rounded Corners 30">
          <a:extLst>
            <a:ext uri="{FF2B5EF4-FFF2-40B4-BE49-F238E27FC236}">
              <a16:creationId xmlns:a16="http://schemas.microsoft.com/office/drawing/2014/main" id="{A4E5D8F3-1646-3A98-DF20-59FC2CEA3039}"/>
            </a:ext>
          </a:extLst>
        </xdr:cNvPr>
        <xdr:cNvSpPr/>
      </xdr:nvSpPr>
      <xdr:spPr>
        <a:xfrm>
          <a:off x="6955715" y="5672417"/>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Department</a:t>
          </a:r>
        </a:p>
      </xdr:txBody>
    </xdr:sp>
    <xdr:clientData/>
  </xdr:twoCellAnchor>
  <xdr:twoCellAnchor>
    <xdr:from>
      <xdr:col>16</xdr:col>
      <xdr:colOff>554915</xdr:colOff>
      <xdr:row>31</xdr:row>
      <xdr:rowOff>141194</xdr:rowOff>
    </xdr:from>
    <xdr:to>
      <xdr:col>20</xdr:col>
      <xdr:colOff>179293</xdr:colOff>
      <xdr:row>34</xdr:row>
      <xdr:rowOff>57375</xdr:rowOff>
    </xdr:to>
    <xdr:sp macro="" textlink="">
      <xdr:nvSpPr>
        <xdr:cNvPr id="32" name="Rectangle: Rounded Corners 31">
          <a:extLst>
            <a:ext uri="{FF2B5EF4-FFF2-40B4-BE49-F238E27FC236}">
              <a16:creationId xmlns:a16="http://schemas.microsoft.com/office/drawing/2014/main" id="{230F693D-E123-D1F3-4E11-34945A37D46E}"/>
            </a:ext>
          </a:extLst>
        </xdr:cNvPr>
        <xdr:cNvSpPr/>
      </xdr:nvSpPr>
      <xdr:spPr>
        <a:xfrm>
          <a:off x="10308515" y="5699312"/>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      Joining Date</a:t>
          </a:r>
        </a:p>
      </xdr:txBody>
    </xdr:sp>
    <xdr:clientData/>
  </xdr:twoCellAnchor>
  <xdr:twoCellAnchor>
    <xdr:from>
      <xdr:col>5</xdr:col>
      <xdr:colOff>223221</xdr:colOff>
      <xdr:row>34</xdr:row>
      <xdr:rowOff>141194</xdr:rowOff>
    </xdr:from>
    <xdr:to>
      <xdr:col>8</xdr:col>
      <xdr:colOff>457199</xdr:colOff>
      <xdr:row>37</xdr:row>
      <xdr:rowOff>57375</xdr:rowOff>
    </xdr:to>
    <xdr:sp macro="" textlink="">
      <xdr:nvSpPr>
        <xdr:cNvPr id="33" name="Rectangle: Rounded Corners 32">
          <a:extLst>
            <a:ext uri="{FF2B5EF4-FFF2-40B4-BE49-F238E27FC236}">
              <a16:creationId xmlns:a16="http://schemas.microsoft.com/office/drawing/2014/main" id="{F354BC40-C4AE-5FB3-36C5-EA15B0E7E583}"/>
            </a:ext>
          </a:extLst>
        </xdr:cNvPr>
        <xdr:cNvSpPr/>
      </xdr:nvSpPr>
      <xdr:spPr>
        <a:xfrm>
          <a:off x="3271221" y="6237194"/>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Full Name</a:t>
          </a:r>
        </a:p>
      </xdr:txBody>
    </xdr:sp>
    <xdr:clientData/>
  </xdr:twoCellAnchor>
  <xdr:twoCellAnchor>
    <xdr:from>
      <xdr:col>5</xdr:col>
      <xdr:colOff>250116</xdr:colOff>
      <xdr:row>37</xdr:row>
      <xdr:rowOff>132230</xdr:rowOff>
    </xdr:from>
    <xdr:to>
      <xdr:col>8</xdr:col>
      <xdr:colOff>484094</xdr:colOff>
      <xdr:row>40</xdr:row>
      <xdr:rowOff>48410</xdr:rowOff>
    </xdr:to>
    <xdr:sp macro="" textlink="">
      <xdr:nvSpPr>
        <xdr:cNvPr id="34" name="Rectangle: Rounded Corners 33">
          <a:extLst>
            <a:ext uri="{FF2B5EF4-FFF2-40B4-BE49-F238E27FC236}">
              <a16:creationId xmlns:a16="http://schemas.microsoft.com/office/drawing/2014/main" id="{8E769F54-12C2-B697-D2EA-020F5A493B3A}"/>
            </a:ext>
          </a:extLst>
        </xdr:cNvPr>
        <xdr:cNvSpPr/>
      </xdr:nvSpPr>
      <xdr:spPr>
        <a:xfrm>
          <a:off x="3298116" y="6766112"/>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Gender</a:t>
          </a:r>
        </a:p>
      </xdr:txBody>
    </xdr:sp>
    <xdr:clientData/>
  </xdr:twoCellAnchor>
  <xdr:twoCellAnchor>
    <xdr:from>
      <xdr:col>11</xdr:col>
      <xdr:colOff>250115</xdr:colOff>
      <xdr:row>34</xdr:row>
      <xdr:rowOff>114300</xdr:rowOff>
    </xdr:from>
    <xdr:to>
      <xdr:col>14</xdr:col>
      <xdr:colOff>484093</xdr:colOff>
      <xdr:row>37</xdr:row>
      <xdr:rowOff>30481</xdr:rowOff>
    </xdr:to>
    <xdr:sp macro="" textlink="">
      <xdr:nvSpPr>
        <xdr:cNvPr id="37" name="Rectangle: Rounded Corners 36">
          <a:extLst>
            <a:ext uri="{FF2B5EF4-FFF2-40B4-BE49-F238E27FC236}">
              <a16:creationId xmlns:a16="http://schemas.microsoft.com/office/drawing/2014/main" id="{11D12AFA-5191-032B-BFC5-9E9B18BF3F13}"/>
            </a:ext>
          </a:extLst>
        </xdr:cNvPr>
        <xdr:cNvSpPr/>
      </xdr:nvSpPr>
      <xdr:spPr>
        <a:xfrm>
          <a:off x="6955715" y="6210300"/>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Job Role</a:t>
          </a:r>
        </a:p>
      </xdr:txBody>
    </xdr:sp>
    <xdr:clientData/>
  </xdr:twoCellAnchor>
  <xdr:twoCellAnchor>
    <xdr:from>
      <xdr:col>11</xdr:col>
      <xdr:colOff>259080</xdr:colOff>
      <xdr:row>37</xdr:row>
      <xdr:rowOff>123265</xdr:rowOff>
    </xdr:from>
    <xdr:to>
      <xdr:col>14</xdr:col>
      <xdr:colOff>493058</xdr:colOff>
      <xdr:row>40</xdr:row>
      <xdr:rowOff>39445</xdr:rowOff>
    </xdr:to>
    <xdr:sp macro="" textlink="">
      <xdr:nvSpPr>
        <xdr:cNvPr id="38" name="Rectangle: Rounded Corners 37">
          <a:extLst>
            <a:ext uri="{FF2B5EF4-FFF2-40B4-BE49-F238E27FC236}">
              <a16:creationId xmlns:a16="http://schemas.microsoft.com/office/drawing/2014/main" id="{8C6F1816-46D0-FC63-A85B-5B4CCBA25562}"/>
            </a:ext>
          </a:extLst>
        </xdr:cNvPr>
        <xdr:cNvSpPr/>
      </xdr:nvSpPr>
      <xdr:spPr>
        <a:xfrm>
          <a:off x="6964680" y="6757147"/>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Employment</a:t>
          </a:r>
          <a:r>
            <a:rPr lang="en-IN" sz="1200" baseline="0">
              <a:solidFill>
                <a:schemeClr val="tx1"/>
              </a:solidFill>
              <a:latin typeface="+mn-lt"/>
              <a:ea typeface="+mn-ea"/>
              <a:cs typeface="+mn-cs"/>
            </a:rPr>
            <a:t> Type</a:t>
          </a:r>
          <a:endParaRPr lang="en-IN" sz="1200">
            <a:solidFill>
              <a:schemeClr val="tx1"/>
            </a:solidFill>
            <a:latin typeface="+mn-lt"/>
            <a:ea typeface="+mn-ea"/>
            <a:cs typeface="+mn-cs"/>
          </a:endParaRPr>
        </a:p>
      </xdr:txBody>
    </xdr:sp>
    <xdr:clientData/>
  </xdr:twoCellAnchor>
  <xdr:twoCellAnchor>
    <xdr:from>
      <xdr:col>16</xdr:col>
      <xdr:colOff>572845</xdr:colOff>
      <xdr:row>34</xdr:row>
      <xdr:rowOff>123266</xdr:rowOff>
    </xdr:from>
    <xdr:to>
      <xdr:col>20</xdr:col>
      <xdr:colOff>197223</xdr:colOff>
      <xdr:row>37</xdr:row>
      <xdr:rowOff>39447</xdr:rowOff>
    </xdr:to>
    <xdr:sp macro="" textlink="">
      <xdr:nvSpPr>
        <xdr:cNvPr id="39" name="Rectangle: Rounded Corners 38">
          <a:extLst>
            <a:ext uri="{FF2B5EF4-FFF2-40B4-BE49-F238E27FC236}">
              <a16:creationId xmlns:a16="http://schemas.microsoft.com/office/drawing/2014/main" id="{463BFB2A-F5D0-451D-AFE8-4325DF87EA35}"/>
            </a:ext>
          </a:extLst>
        </xdr:cNvPr>
        <xdr:cNvSpPr/>
      </xdr:nvSpPr>
      <xdr:spPr>
        <a:xfrm>
          <a:off x="10326445" y="6219266"/>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     Experiance(Years)</a:t>
          </a:r>
        </a:p>
      </xdr:txBody>
    </xdr:sp>
    <xdr:clientData/>
  </xdr:twoCellAnchor>
  <xdr:twoCellAnchor>
    <xdr:from>
      <xdr:col>16</xdr:col>
      <xdr:colOff>581809</xdr:colOff>
      <xdr:row>37</xdr:row>
      <xdr:rowOff>123265</xdr:rowOff>
    </xdr:from>
    <xdr:to>
      <xdr:col>20</xdr:col>
      <xdr:colOff>206187</xdr:colOff>
      <xdr:row>40</xdr:row>
      <xdr:rowOff>39445</xdr:rowOff>
    </xdr:to>
    <xdr:sp macro="" textlink="">
      <xdr:nvSpPr>
        <xdr:cNvPr id="42" name="Rectangle: Rounded Corners 41">
          <a:extLst>
            <a:ext uri="{FF2B5EF4-FFF2-40B4-BE49-F238E27FC236}">
              <a16:creationId xmlns:a16="http://schemas.microsoft.com/office/drawing/2014/main" id="{6CC271E3-B9B1-3D88-1C35-BC7E740F9660}"/>
            </a:ext>
          </a:extLst>
        </xdr:cNvPr>
        <xdr:cNvSpPr/>
      </xdr:nvSpPr>
      <xdr:spPr>
        <a:xfrm>
          <a:off x="10335409" y="6757147"/>
          <a:ext cx="2062778" cy="45406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solidFill>
              <a:latin typeface="+mn-lt"/>
              <a:ea typeface="+mn-ea"/>
              <a:cs typeface="+mn-cs"/>
            </a:rPr>
            <a:t>Location(City)</a:t>
          </a:r>
        </a:p>
      </xdr:txBody>
    </xdr:sp>
    <xdr:clientData/>
  </xdr:twoCellAnchor>
  <xdr:twoCellAnchor editAs="oneCell">
    <xdr:from>
      <xdr:col>5</xdr:col>
      <xdr:colOff>545951</xdr:colOff>
      <xdr:row>31</xdr:row>
      <xdr:rowOff>141193</xdr:rowOff>
    </xdr:from>
    <xdr:to>
      <xdr:col>6</xdr:col>
      <xdr:colOff>332591</xdr:colOff>
      <xdr:row>33</xdr:row>
      <xdr:rowOff>171673</xdr:rowOff>
    </xdr:to>
    <xdr:pic>
      <xdr:nvPicPr>
        <xdr:cNvPr id="43" name="Graphic 42" descr="Users">
          <a:extLst>
            <a:ext uri="{FF2B5EF4-FFF2-40B4-BE49-F238E27FC236}">
              <a16:creationId xmlns:a16="http://schemas.microsoft.com/office/drawing/2014/main" id="{1F35A8B2-C8E9-429C-A0FC-67F0A645AC2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93951" y="5699311"/>
          <a:ext cx="396240" cy="389068"/>
        </a:xfrm>
        <a:prstGeom prst="rect">
          <a:avLst/>
        </a:prstGeom>
      </xdr:spPr>
    </xdr:pic>
    <xdr:clientData/>
  </xdr:twoCellAnchor>
  <xdr:twoCellAnchor editAs="oneCell">
    <xdr:from>
      <xdr:col>11</xdr:col>
      <xdr:colOff>349623</xdr:colOff>
      <xdr:row>31</xdr:row>
      <xdr:rowOff>98612</xdr:rowOff>
    </xdr:from>
    <xdr:to>
      <xdr:col>12</xdr:col>
      <xdr:colOff>242047</xdr:colOff>
      <xdr:row>34</xdr:row>
      <xdr:rowOff>62754</xdr:rowOff>
    </xdr:to>
    <xdr:pic>
      <xdr:nvPicPr>
        <xdr:cNvPr id="45" name="Graphic 44" descr="City">
          <a:extLst>
            <a:ext uri="{FF2B5EF4-FFF2-40B4-BE49-F238E27FC236}">
              <a16:creationId xmlns:a16="http://schemas.microsoft.com/office/drawing/2014/main" id="{FDF92752-678E-B61F-AEEA-81C8341EF92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055223" y="5656730"/>
          <a:ext cx="502024" cy="502024"/>
        </a:xfrm>
        <a:prstGeom prst="rect">
          <a:avLst/>
        </a:prstGeom>
      </xdr:spPr>
    </xdr:pic>
    <xdr:clientData/>
  </xdr:twoCellAnchor>
  <xdr:twoCellAnchor editAs="oneCell">
    <xdr:from>
      <xdr:col>17</xdr:col>
      <xdr:colOff>233084</xdr:colOff>
      <xdr:row>31</xdr:row>
      <xdr:rowOff>134471</xdr:rowOff>
    </xdr:from>
    <xdr:to>
      <xdr:col>18</xdr:col>
      <xdr:colOff>80683</xdr:colOff>
      <xdr:row>34</xdr:row>
      <xdr:rowOff>53788</xdr:rowOff>
    </xdr:to>
    <xdr:pic>
      <xdr:nvPicPr>
        <xdr:cNvPr id="47" name="Graphic 46" descr="Flip calendar">
          <a:extLst>
            <a:ext uri="{FF2B5EF4-FFF2-40B4-BE49-F238E27FC236}">
              <a16:creationId xmlns:a16="http://schemas.microsoft.com/office/drawing/2014/main" id="{0F9588DD-71F0-6590-A333-C6B777FF751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596284" y="5692589"/>
          <a:ext cx="457199" cy="457199"/>
        </a:xfrm>
        <a:prstGeom prst="rect">
          <a:avLst/>
        </a:prstGeom>
      </xdr:spPr>
    </xdr:pic>
    <xdr:clientData/>
  </xdr:twoCellAnchor>
  <xdr:twoCellAnchor editAs="oneCell">
    <xdr:from>
      <xdr:col>5</xdr:col>
      <xdr:colOff>402515</xdr:colOff>
      <xdr:row>34</xdr:row>
      <xdr:rowOff>150159</xdr:rowOff>
    </xdr:from>
    <xdr:to>
      <xdr:col>6</xdr:col>
      <xdr:colOff>196775</xdr:colOff>
      <xdr:row>37</xdr:row>
      <xdr:rowOff>8965</xdr:rowOff>
    </xdr:to>
    <xdr:pic>
      <xdr:nvPicPr>
        <xdr:cNvPr id="48" name="Graphic 47" descr="Office worker">
          <a:extLst>
            <a:ext uri="{FF2B5EF4-FFF2-40B4-BE49-F238E27FC236}">
              <a16:creationId xmlns:a16="http://schemas.microsoft.com/office/drawing/2014/main" id="{4071D1F3-AD49-4FA6-8B98-DA1B82F10B2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450515" y="6246159"/>
          <a:ext cx="403860" cy="396688"/>
        </a:xfrm>
        <a:prstGeom prst="rect">
          <a:avLst/>
        </a:prstGeom>
      </xdr:spPr>
    </xdr:pic>
    <xdr:clientData/>
  </xdr:twoCellAnchor>
  <xdr:twoCellAnchor editAs="oneCell">
    <xdr:from>
      <xdr:col>11</xdr:col>
      <xdr:colOff>519953</xdr:colOff>
      <xdr:row>34</xdr:row>
      <xdr:rowOff>134471</xdr:rowOff>
    </xdr:from>
    <xdr:to>
      <xdr:col>12</xdr:col>
      <xdr:colOff>340659</xdr:colOff>
      <xdr:row>37</xdr:row>
      <xdr:rowOff>26895</xdr:rowOff>
    </xdr:to>
    <xdr:pic>
      <xdr:nvPicPr>
        <xdr:cNvPr id="50" name="Graphic 49" descr="Briefcase">
          <a:extLst>
            <a:ext uri="{FF2B5EF4-FFF2-40B4-BE49-F238E27FC236}">
              <a16:creationId xmlns:a16="http://schemas.microsoft.com/office/drawing/2014/main" id="{E6FA42F2-5067-7F45-BCDC-D7D4359FA30B}"/>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225553" y="6230471"/>
          <a:ext cx="430306" cy="430306"/>
        </a:xfrm>
        <a:prstGeom prst="rect">
          <a:avLst/>
        </a:prstGeom>
      </xdr:spPr>
    </xdr:pic>
    <xdr:clientData/>
  </xdr:twoCellAnchor>
  <xdr:twoCellAnchor editAs="oneCell">
    <xdr:from>
      <xdr:col>17</xdr:col>
      <xdr:colOff>26893</xdr:colOff>
      <xdr:row>34</xdr:row>
      <xdr:rowOff>107577</xdr:rowOff>
    </xdr:from>
    <xdr:to>
      <xdr:col>17</xdr:col>
      <xdr:colOff>502022</xdr:colOff>
      <xdr:row>37</xdr:row>
      <xdr:rowOff>44824</xdr:rowOff>
    </xdr:to>
    <xdr:pic>
      <xdr:nvPicPr>
        <xdr:cNvPr id="52" name="Graphic 51" descr="Clock">
          <a:extLst>
            <a:ext uri="{FF2B5EF4-FFF2-40B4-BE49-F238E27FC236}">
              <a16:creationId xmlns:a16="http://schemas.microsoft.com/office/drawing/2014/main" id="{3425447A-FFD7-3BBE-B967-879B09E9F09F}"/>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0390093" y="6203577"/>
          <a:ext cx="475129" cy="475129"/>
        </a:xfrm>
        <a:prstGeom prst="rect">
          <a:avLst/>
        </a:prstGeom>
      </xdr:spPr>
    </xdr:pic>
    <xdr:clientData/>
  </xdr:twoCellAnchor>
  <xdr:twoCellAnchor editAs="oneCell">
    <xdr:from>
      <xdr:col>5</xdr:col>
      <xdr:colOff>472728</xdr:colOff>
      <xdr:row>37</xdr:row>
      <xdr:rowOff>150001</xdr:rowOff>
    </xdr:from>
    <xdr:to>
      <xdr:col>6</xdr:col>
      <xdr:colOff>295835</xdr:colOff>
      <xdr:row>40</xdr:row>
      <xdr:rowOff>44825</xdr:rowOff>
    </xdr:to>
    <xdr:pic>
      <xdr:nvPicPr>
        <xdr:cNvPr id="54" name="Graphic 53" descr="Gender">
          <a:extLst>
            <a:ext uri="{FF2B5EF4-FFF2-40B4-BE49-F238E27FC236}">
              <a16:creationId xmlns:a16="http://schemas.microsoft.com/office/drawing/2014/main" id="{046EEE0F-2289-0601-B294-5167ABA88541}"/>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3520728" y="6783883"/>
          <a:ext cx="432707" cy="432707"/>
        </a:xfrm>
        <a:prstGeom prst="rect">
          <a:avLst/>
        </a:prstGeom>
      </xdr:spPr>
    </xdr:pic>
    <xdr:clientData/>
  </xdr:twoCellAnchor>
  <xdr:twoCellAnchor editAs="oneCell">
    <xdr:from>
      <xdr:col>17</xdr:col>
      <xdr:colOff>111740</xdr:colOff>
      <xdr:row>37</xdr:row>
      <xdr:rowOff>129671</xdr:rowOff>
    </xdr:from>
    <xdr:to>
      <xdr:col>17</xdr:col>
      <xdr:colOff>591671</xdr:colOff>
      <xdr:row>40</xdr:row>
      <xdr:rowOff>71719</xdr:rowOff>
    </xdr:to>
    <xdr:pic>
      <xdr:nvPicPr>
        <xdr:cNvPr id="56" name="Graphic 55" descr="Marker">
          <a:extLst>
            <a:ext uri="{FF2B5EF4-FFF2-40B4-BE49-F238E27FC236}">
              <a16:creationId xmlns:a16="http://schemas.microsoft.com/office/drawing/2014/main" id="{4FD2DA64-5723-38CD-2EEB-643922E54861}"/>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0474940" y="6763553"/>
          <a:ext cx="479931" cy="479931"/>
        </a:xfrm>
        <a:prstGeom prst="rect">
          <a:avLst/>
        </a:prstGeom>
      </xdr:spPr>
    </xdr:pic>
    <xdr:clientData/>
  </xdr:twoCellAnchor>
  <xdr:twoCellAnchor editAs="oneCell">
    <xdr:from>
      <xdr:col>11</xdr:col>
      <xdr:colOff>285974</xdr:colOff>
      <xdr:row>37</xdr:row>
      <xdr:rowOff>177053</xdr:rowOff>
    </xdr:from>
    <xdr:to>
      <xdr:col>12</xdr:col>
      <xdr:colOff>72614</xdr:colOff>
      <xdr:row>40</xdr:row>
      <xdr:rowOff>28238</xdr:rowOff>
    </xdr:to>
    <xdr:pic>
      <xdr:nvPicPr>
        <xdr:cNvPr id="57" name="Graphic 56" descr="Users">
          <a:extLst>
            <a:ext uri="{FF2B5EF4-FFF2-40B4-BE49-F238E27FC236}">
              <a16:creationId xmlns:a16="http://schemas.microsoft.com/office/drawing/2014/main" id="{90E1CB89-B862-4A2E-9B25-1FFC84398FB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34"/>
            </a:ext>
          </a:extLst>
        </a:blip>
        <a:stretch>
          <a:fillRect/>
        </a:stretch>
      </xdr:blipFill>
      <xdr:spPr>
        <a:xfrm>
          <a:off x="6991574" y="6810935"/>
          <a:ext cx="396240" cy="389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9413</xdr:colOff>
      <xdr:row>0</xdr:row>
      <xdr:rowOff>52889</xdr:rowOff>
    </xdr:from>
    <xdr:to>
      <xdr:col>25</xdr:col>
      <xdr:colOff>134471</xdr:colOff>
      <xdr:row>42</xdr:row>
      <xdr:rowOff>26893</xdr:rowOff>
    </xdr:to>
    <xdr:sp macro="" textlink="">
      <xdr:nvSpPr>
        <xdr:cNvPr id="2" name="Rectangle 1">
          <a:extLst>
            <a:ext uri="{FF2B5EF4-FFF2-40B4-BE49-F238E27FC236}">
              <a16:creationId xmlns:a16="http://schemas.microsoft.com/office/drawing/2014/main" id="{3B545CB1-11A4-4CEC-9D35-54F6A84C2735}"/>
            </a:ext>
          </a:extLst>
        </xdr:cNvPr>
        <xdr:cNvSpPr/>
      </xdr:nvSpPr>
      <xdr:spPr>
        <a:xfrm>
          <a:off x="619013" y="52889"/>
          <a:ext cx="14755458" cy="750435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b="1">
            <a:solidFill>
              <a:schemeClr val="accent1"/>
            </a:solidFill>
            <a:latin typeface="+mn-lt"/>
            <a:ea typeface="+mn-ea"/>
            <a:cs typeface="+mn-cs"/>
          </a:endParaRPr>
        </a:p>
      </xdr:txBody>
    </xdr:sp>
    <xdr:clientData/>
  </xdr:twoCellAnchor>
  <xdr:twoCellAnchor>
    <xdr:from>
      <xdr:col>1</xdr:col>
      <xdr:colOff>8964</xdr:colOff>
      <xdr:row>0</xdr:row>
      <xdr:rowOff>26894</xdr:rowOff>
    </xdr:from>
    <xdr:to>
      <xdr:col>25</xdr:col>
      <xdr:colOff>125506</xdr:colOff>
      <xdr:row>4</xdr:row>
      <xdr:rowOff>170330</xdr:rowOff>
    </xdr:to>
    <xdr:sp macro="" textlink="">
      <xdr:nvSpPr>
        <xdr:cNvPr id="3" name="Rectangle: Rounded Corners 2">
          <a:extLst>
            <a:ext uri="{FF2B5EF4-FFF2-40B4-BE49-F238E27FC236}">
              <a16:creationId xmlns:a16="http://schemas.microsoft.com/office/drawing/2014/main" id="{B7ACBB74-44D6-46A8-9D11-F14981EA0B28}"/>
            </a:ext>
          </a:extLst>
        </xdr:cNvPr>
        <xdr:cNvSpPr/>
      </xdr:nvSpPr>
      <xdr:spPr>
        <a:xfrm>
          <a:off x="618564" y="26894"/>
          <a:ext cx="14746942" cy="86061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8964</xdr:colOff>
      <xdr:row>4</xdr:row>
      <xdr:rowOff>161364</xdr:rowOff>
    </xdr:from>
    <xdr:to>
      <xdr:col>3</xdr:col>
      <xdr:colOff>541468</xdr:colOff>
      <xdr:row>42</xdr:row>
      <xdr:rowOff>53788</xdr:rowOff>
    </xdr:to>
    <xdr:sp macro="" textlink="">
      <xdr:nvSpPr>
        <xdr:cNvPr id="4" name="Rectangle: Rounded Corners 3">
          <a:extLst>
            <a:ext uri="{FF2B5EF4-FFF2-40B4-BE49-F238E27FC236}">
              <a16:creationId xmlns:a16="http://schemas.microsoft.com/office/drawing/2014/main" id="{6A1BE2B5-197D-49E1-A76C-B0E72288261E}"/>
            </a:ext>
          </a:extLst>
        </xdr:cNvPr>
        <xdr:cNvSpPr/>
      </xdr:nvSpPr>
      <xdr:spPr>
        <a:xfrm>
          <a:off x="618564" y="892884"/>
          <a:ext cx="1751704" cy="6834244"/>
        </a:xfrm>
        <a:prstGeom prst="roundRect">
          <a:avLst>
            <a:gd name="adj" fmla="val 20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xdr:row>
      <xdr:rowOff>144780</xdr:rowOff>
    </xdr:from>
    <xdr:to>
      <xdr:col>16</xdr:col>
      <xdr:colOff>160020</xdr:colOff>
      <xdr:row>4</xdr:row>
      <xdr:rowOff>38100</xdr:rowOff>
    </xdr:to>
    <xdr:sp macro="" textlink="">
      <xdr:nvSpPr>
        <xdr:cNvPr id="5" name="Rectangle: Rounded Corners 4">
          <a:extLst>
            <a:ext uri="{FF2B5EF4-FFF2-40B4-BE49-F238E27FC236}">
              <a16:creationId xmlns:a16="http://schemas.microsoft.com/office/drawing/2014/main" id="{2CA27D11-D521-4341-ABEC-240A718428E4}"/>
            </a:ext>
          </a:extLst>
        </xdr:cNvPr>
        <xdr:cNvSpPr/>
      </xdr:nvSpPr>
      <xdr:spPr>
        <a:xfrm>
          <a:off x="3543300" y="327660"/>
          <a:ext cx="6370320" cy="441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n-lt"/>
            </a:rPr>
            <a:t>                                       SALARY</a:t>
          </a:r>
          <a:r>
            <a:rPr lang="en-IN" sz="2000" b="1" baseline="0">
              <a:latin typeface="+mn-lt"/>
            </a:rPr>
            <a:t> ANALYSIS</a:t>
          </a:r>
          <a:endParaRPr lang="en-IN" sz="2000" b="1">
            <a:latin typeface="+mn-lt"/>
          </a:endParaRPr>
        </a:p>
      </xdr:txBody>
    </xdr:sp>
    <xdr:clientData/>
  </xdr:twoCellAnchor>
  <xdr:twoCellAnchor>
    <xdr:from>
      <xdr:col>1</xdr:col>
      <xdr:colOff>137160</xdr:colOff>
      <xdr:row>1</xdr:row>
      <xdr:rowOff>53340</xdr:rowOff>
    </xdr:from>
    <xdr:to>
      <xdr:col>4</xdr:col>
      <xdr:colOff>83820</xdr:colOff>
      <xdr:row>4</xdr:row>
      <xdr:rowOff>83820</xdr:rowOff>
    </xdr:to>
    <xdr:sp macro="" textlink="">
      <xdr:nvSpPr>
        <xdr:cNvPr id="6" name="Rectangle: Rounded Corners 5">
          <a:extLst>
            <a:ext uri="{FF2B5EF4-FFF2-40B4-BE49-F238E27FC236}">
              <a16:creationId xmlns:a16="http://schemas.microsoft.com/office/drawing/2014/main" id="{3CF5FF48-4EED-4547-83B1-5BA043FEE466}"/>
            </a:ext>
          </a:extLst>
        </xdr:cNvPr>
        <xdr:cNvSpPr/>
      </xdr:nvSpPr>
      <xdr:spPr>
        <a:xfrm>
          <a:off x="746760" y="236220"/>
          <a:ext cx="1775460" cy="579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200" b="1"/>
            <a:t>ABC  </a:t>
          </a:r>
        </a:p>
        <a:p>
          <a:pPr algn="l"/>
          <a:r>
            <a:rPr lang="en-IN" sz="1200"/>
            <a:t>                TECHNOLOGIES</a:t>
          </a:r>
        </a:p>
      </xdr:txBody>
    </xdr:sp>
    <xdr:clientData/>
  </xdr:twoCellAnchor>
  <xdr:twoCellAnchor editAs="oneCell">
    <xdr:from>
      <xdr:col>1</xdr:col>
      <xdr:colOff>137160</xdr:colOff>
      <xdr:row>1</xdr:row>
      <xdr:rowOff>45720</xdr:rowOff>
    </xdr:from>
    <xdr:to>
      <xdr:col>2</xdr:col>
      <xdr:colOff>152400</xdr:colOff>
      <xdr:row>4</xdr:row>
      <xdr:rowOff>121920</xdr:rowOff>
    </xdr:to>
    <xdr:pic>
      <xdr:nvPicPr>
        <xdr:cNvPr id="7" name="Graphic 6" descr="Users">
          <a:extLst>
            <a:ext uri="{FF2B5EF4-FFF2-40B4-BE49-F238E27FC236}">
              <a16:creationId xmlns:a16="http://schemas.microsoft.com/office/drawing/2014/main" id="{B7DA3A23-562D-492C-8E43-A1D42280A3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228600"/>
          <a:ext cx="624840" cy="624840"/>
        </a:xfrm>
        <a:prstGeom prst="rect">
          <a:avLst/>
        </a:prstGeom>
      </xdr:spPr>
    </xdr:pic>
    <xdr:clientData/>
  </xdr:twoCellAnchor>
  <xdr:twoCellAnchor>
    <xdr:from>
      <xdr:col>1</xdr:col>
      <xdr:colOff>121920</xdr:colOff>
      <xdr:row>6</xdr:row>
      <xdr:rowOff>22860</xdr:rowOff>
    </xdr:from>
    <xdr:to>
      <xdr:col>3</xdr:col>
      <xdr:colOff>335280</xdr:colOff>
      <xdr:row>8</xdr:row>
      <xdr:rowOff>121920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0208A59E-C729-4933-B2FD-BEEE8D5F8B8B}"/>
            </a:ext>
          </a:extLst>
        </xdr:cNvPr>
        <xdr:cNvSpPr/>
      </xdr:nvSpPr>
      <xdr:spPr>
        <a:xfrm>
          <a:off x="731520" y="1112520"/>
          <a:ext cx="143256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Overview</a:t>
          </a:r>
        </a:p>
      </xdr:txBody>
    </xdr:sp>
    <xdr:clientData/>
  </xdr:twoCellAnchor>
  <xdr:twoCellAnchor>
    <xdr:from>
      <xdr:col>1</xdr:col>
      <xdr:colOff>106680</xdr:colOff>
      <xdr:row>9</xdr:row>
      <xdr:rowOff>30480</xdr:rowOff>
    </xdr:from>
    <xdr:to>
      <xdr:col>3</xdr:col>
      <xdr:colOff>312420</xdr:colOff>
      <xdr:row>11</xdr:row>
      <xdr:rowOff>160020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AAC7272B-0514-4FF6-A7EC-64E59BEDD970}"/>
            </a:ext>
          </a:extLst>
        </xdr:cNvPr>
        <xdr:cNvSpPr/>
      </xdr:nvSpPr>
      <xdr:spPr>
        <a:xfrm>
          <a:off x="716280" y="1668780"/>
          <a:ext cx="14249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Department</a:t>
          </a:r>
        </a:p>
      </xdr:txBody>
    </xdr:sp>
    <xdr:clientData/>
  </xdr:twoCellAnchor>
  <xdr:twoCellAnchor>
    <xdr:from>
      <xdr:col>1</xdr:col>
      <xdr:colOff>106680</xdr:colOff>
      <xdr:row>12</xdr:row>
      <xdr:rowOff>114300</xdr:rowOff>
    </xdr:from>
    <xdr:to>
      <xdr:col>3</xdr:col>
      <xdr:colOff>342900</xdr:colOff>
      <xdr:row>15</xdr:row>
      <xdr:rowOff>30480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2B696895-D844-41F4-9E2D-74489DFA7178}"/>
            </a:ext>
          </a:extLst>
        </xdr:cNvPr>
        <xdr:cNvSpPr/>
      </xdr:nvSpPr>
      <xdr:spPr>
        <a:xfrm>
          <a:off x="716280" y="2301240"/>
          <a:ext cx="1455420" cy="4648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 </a:t>
          </a:r>
          <a:r>
            <a:rPr lang="en-IN" sz="1200" baseline="0">
              <a:solidFill>
                <a:schemeClr val="tx1"/>
              </a:solidFill>
            </a:rPr>
            <a:t>     </a:t>
          </a:r>
          <a:r>
            <a:rPr lang="en-IN" sz="1200">
              <a:solidFill>
                <a:schemeClr val="tx1"/>
              </a:solidFill>
            </a:rPr>
            <a:t>Salary</a:t>
          </a:r>
          <a:r>
            <a:rPr lang="en-IN" sz="1200" baseline="0">
              <a:solidFill>
                <a:schemeClr val="tx1"/>
              </a:solidFill>
            </a:rPr>
            <a:t> Analysis</a:t>
          </a:r>
          <a:endParaRPr lang="en-IN" sz="1200">
            <a:solidFill>
              <a:schemeClr val="tx1"/>
            </a:solidFill>
          </a:endParaRPr>
        </a:p>
      </xdr:txBody>
    </xdr:sp>
    <xdr:clientData/>
  </xdr:twoCellAnchor>
  <xdr:twoCellAnchor>
    <xdr:from>
      <xdr:col>1</xdr:col>
      <xdr:colOff>129540</xdr:colOff>
      <xdr:row>15</xdr:row>
      <xdr:rowOff>144780</xdr:rowOff>
    </xdr:from>
    <xdr:to>
      <xdr:col>3</xdr:col>
      <xdr:colOff>396240</xdr:colOff>
      <xdr:row>18</xdr:row>
      <xdr:rowOff>137160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2D07A81C-57B4-421A-9702-963156A5A875}"/>
            </a:ext>
          </a:extLst>
        </xdr:cNvPr>
        <xdr:cNvSpPr/>
      </xdr:nvSpPr>
      <xdr:spPr>
        <a:xfrm>
          <a:off x="739140" y="2880360"/>
          <a:ext cx="148590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Employee Details</a:t>
          </a:r>
          <a:endParaRPr lang="en-IN" sz="1200"/>
        </a:p>
      </xdr:txBody>
    </xdr:sp>
    <xdr:clientData/>
  </xdr:twoCellAnchor>
  <xdr:twoCellAnchor>
    <xdr:from>
      <xdr:col>1</xdr:col>
      <xdr:colOff>121920</xdr:colOff>
      <xdr:row>19</xdr:row>
      <xdr:rowOff>45720</xdr:rowOff>
    </xdr:from>
    <xdr:to>
      <xdr:col>3</xdr:col>
      <xdr:colOff>350520</xdr:colOff>
      <xdr:row>21</xdr:row>
      <xdr:rowOff>175260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1943E74F-8EA5-4D7E-A03A-6B5FE1C1DA1F}"/>
            </a:ext>
          </a:extLst>
        </xdr:cNvPr>
        <xdr:cNvSpPr/>
      </xdr:nvSpPr>
      <xdr:spPr>
        <a:xfrm>
          <a:off x="731520" y="3512820"/>
          <a:ext cx="14478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About</a:t>
          </a:r>
          <a:endParaRPr lang="en-IN" sz="1200"/>
        </a:p>
      </xdr:txBody>
    </xdr:sp>
    <xdr:clientData/>
  </xdr:twoCellAnchor>
  <xdr:twoCellAnchor editAs="oneCell">
    <xdr:from>
      <xdr:col>1</xdr:col>
      <xdr:colOff>205740</xdr:colOff>
      <xdr:row>6</xdr:row>
      <xdr:rowOff>30480</xdr:rowOff>
    </xdr:from>
    <xdr:to>
      <xdr:col>2</xdr:col>
      <xdr:colOff>22860</xdr:colOff>
      <xdr:row>8</xdr:row>
      <xdr:rowOff>91440</xdr:rowOff>
    </xdr:to>
    <xdr:pic>
      <xdr:nvPicPr>
        <xdr:cNvPr id="13" name="Graphic 12" descr="House">
          <a:extLst>
            <a:ext uri="{FF2B5EF4-FFF2-40B4-BE49-F238E27FC236}">
              <a16:creationId xmlns:a16="http://schemas.microsoft.com/office/drawing/2014/main" id="{E9B2D0C9-91A9-487C-A025-E2544C9427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15340" y="1120140"/>
          <a:ext cx="426720" cy="426720"/>
        </a:xfrm>
        <a:prstGeom prst="rect">
          <a:avLst/>
        </a:prstGeom>
      </xdr:spPr>
    </xdr:pic>
    <xdr:clientData/>
  </xdr:twoCellAnchor>
  <xdr:twoCellAnchor editAs="oneCell">
    <xdr:from>
      <xdr:col>1</xdr:col>
      <xdr:colOff>137160</xdr:colOff>
      <xdr:row>9</xdr:row>
      <xdr:rowOff>91440</xdr:rowOff>
    </xdr:from>
    <xdr:to>
      <xdr:col>1</xdr:col>
      <xdr:colOff>533400</xdr:colOff>
      <xdr:row>11</xdr:row>
      <xdr:rowOff>121920</xdr:rowOff>
    </xdr:to>
    <xdr:pic>
      <xdr:nvPicPr>
        <xdr:cNvPr id="14" name="Graphic 13" descr="Users">
          <a:extLst>
            <a:ext uri="{FF2B5EF4-FFF2-40B4-BE49-F238E27FC236}">
              <a16:creationId xmlns:a16="http://schemas.microsoft.com/office/drawing/2014/main" id="{D72DB6ED-72AE-4A72-B95B-02C62A6B50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1729740"/>
          <a:ext cx="396240" cy="396240"/>
        </a:xfrm>
        <a:prstGeom prst="rect">
          <a:avLst/>
        </a:prstGeom>
      </xdr:spPr>
    </xdr:pic>
    <xdr:clientData/>
  </xdr:twoCellAnchor>
  <xdr:twoCellAnchor editAs="oneCell">
    <xdr:from>
      <xdr:col>1</xdr:col>
      <xdr:colOff>129540</xdr:colOff>
      <xdr:row>12</xdr:row>
      <xdr:rowOff>167640</xdr:rowOff>
    </xdr:from>
    <xdr:to>
      <xdr:col>1</xdr:col>
      <xdr:colOff>525780</xdr:colOff>
      <xdr:row>15</xdr:row>
      <xdr:rowOff>15240</xdr:rowOff>
    </xdr:to>
    <xdr:pic>
      <xdr:nvPicPr>
        <xdr:cNvPr id="15" name="Graphic 14" descr="Rupee">
          <a:extLst>
            <a:ext uri="{FF2B5EF4-FFF2-40B4-BE49-F238E27FC236}">
              <a16:creationId xmlns:a16="http://schemas.microsoft.com/office/drawing/2014/main" id="{55141A8E-AC1E-4B81-8C0B-15EEB6B8948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9140" y="2354580"/>
          <a:ext cx="396240" cy="396240"/>
        </a:xfrm>
        <a:prstGeom prst="rect">
          <a:avLst/>
        </a:prstGeom>
      </xdr:spPr>
    </xdr:pic>
    <xdr:clientData/>
  </xdr:twoCellAnchor>
  <xdr:twoCellAnchor editAs="oneCell">
    <xdr:from>
      <xdr:col>1</xdr:col>
      <xdr:colOff>243840</xdr:colOff>
      <xdr:row>16</xdr:row>
      <xdr:rowOff>15240</xdr:rowOff>
    </xdr:from>
    <xdr:to>
      <xdr:col>2</xdr:col>
      <xdr:colOff>38100</xdr:colOff>
      <xdr:row>18</xdr:row>
      <xdr:rowOff>53340</xdr:rowOff>
    </xdr:to>
    <xdr:pic>
      <xdr:nvPicPr>
        <xdr:cNvPr id="16" name="Graphic 15" descr="Office worker">
          <a:extLst>
            <a:ext uri="{FF2B5EF4-FFF2-40B4-BE49-F238E27FC236}">
              <a16:creationId xmlns:a16="http://schemas.microsoft.com/office/drawing/2014/main" id="{ED917E75-EDF0-454F-B2F3-66716E594E2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3440" y="2933700"/>
          <a:ext cx="403860" cy="403860"/>
        </a:xfrm>
        <a:prstGeom prst="rect">
          <a:avLst/>
        </a:prstGeom>
      </xdr:spPr>
    </xdr:pic>
    <xdr:clientData/>
  </xdr:twoCellAnchor>
  <xdr:twoCellAnchor editAs="oneCell">
    <xdr:from>
      <xdr:col>1</xdr:col>
      <xdr:colOff>205740</xdr:colOff>
      <xdr:row>19</xdr:row>
      <xdr:rowOff>68580</xdr:rowOff>
    </xdr:from>
    <xdr:to>
      <xdr:col>2</xdr:col>
      <xdr:colOff>22860</xdr:colOff>
      <xdr:row>21</xdr:row>
      <xdr:rowOff>129540</xdr:rowOff>
    </xdr:to>
    <xdr:pic>
      <xdr:nvPicPr>
        <xdr:cNvPr id="17" name="Graphic 16" descr="Exclamation mark">
          <a:extLst>
            <a:ext uri="{FF2B5EF4-FFF2-40B4-BE49-F238E27FC236}">
              <a16:creationId xmlns:a16="http://schemas.microsoft.com/office/drawing/2014/main" id="{BA185A3E-3DEB-4DE6-B9F2-DD1D72D49D7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5340" y="3535680"/>
          <a:ext cx="426720" cy="426720"/>
        </a:xfrm>
        <a:prstGeom prst="rect">
          <a:avLst/>
        </a:prstGeom>
      </xdr:spPr>
    </xdr:pic>
    <xdr:clientData/>
  </xdr:twoCellAnchor>
  <xdr:twoCellAnchor>
    <xdr:from>
      <xdr:col>4</xdr:col>
      <xdr:colOff>41238</xdr:colOff>
      <xdr:row>5</xdr:row>
      <xdr:rowOff>76648</xdr:rowOff>
    </xdr:from>
    <xdr:to>
      <xdr:col>23</xdr:col>
      <xdr:colOff>206188</xdr:colOff>
      <xdr:row>14</xdr:row>
      <xdr:rowOff>107577</xdr:rowOff>
    </xdr:to>
    <xdr:sp macro="" textlink="">
      <xdr:nvSpPr>
        <xdr:cNvPr id="18" name="Rectangle: Rounded Corners 17">
          <a:extLst>
            <a:ext uri="{FF2B5EF4-FFF2-40B4-BE49-F238E27FC236}">
              <a16:creationId xmlns:a16="http://schemas.microsoft.com/office/drawing/2014/main" id="{FB9923F8-B90D-490F-A9AF-42A6E94F3C89}"/>
            </a:ext>
          </a:extLst>
        </xdr:cNvPr>
        <xdr:cNvSpPr/>
      </xdr:nvSpPr>
      <xdr:spPr>
        <a:xfrm>
          <a:off x="2479638" y="973119"/>
          <a:ext cx="11747350" cy="1644576"/>
        </a:xfrm>
        <a:prstGeom prst="roundRect">
          <a:avLst>
            <a:gd name="adj" fmla="val 11761"/>
          </a:avLst>
        </a:prstGeom>
        <a:solidFill>
          <a:schemeClr val="accent3">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200"/>
        </a:p>
      </xdr:txBody>
    </xdr:sp>
    <xdr:clientData/>
  </xdr:twoCellAnchor>
  <xdr:twoCellAnchor>
    <xdr:from>
      <xdr:col>9</xdr:col>
      <xdr:colOff>143435</xdr:colOff>
      <xdr:row>8</xdr:row>
      <xdr:rowOff>17931</xdr:rowOff>
    </xdr:from>
    <xdr:to>
      <xdr:col>16</xdr:col>
      <xdr:colOff>8965</xdr:colOff>
      <xdr:row>11</xdr:row>
      <xdr:rowOff>98612</xdr:rowOff>
    </xdr:to>
    <xdr:sp macro="" textlink="">
      <xdr:nvSpPr>
        <xdr:cNvPr id="20" name="Rectangle 19">
          <a:extLst>
            <a:ext uri="{FF2B5EF4-FFF2-40B4-BE49-F238E27FC236}">
              <a16:creationId xmlns:a16="http://schemas.microsoft.com/office/drawing/2014/main" id="{F8CA3AEA-9CBA-4AAC-A146-B2545FAF5D6B}"/>
            </a:ext>
          </a:extLst>
        </xdr:cNvPr>
        <xdr:cNvSpPr/>
      </xdr:nvSpPr>
      <xdr:spPr>
        <a:xfrm>
          <a:off x="5629835" y="1473351"/>
          <a:ext cx="4132730" cy="6293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This section provides insights about</a:t>
          </a:r>
        </a:p>
        <a:p>
          <a:pPr algn="ctr"/>
          <a:r>
            <a:rPr lang="en-IN" sz="1400" b="1">
              <a:solidFill>
                <a:schemeClr val="tx1"/>
              </a:solidFill>
            </a:rPr>
            <a:t>employees across different departments</a:t>
          </a:r>
        </a:p>
      </xdr:txBody>
    </xdr:sp>
    <xdr:clientData/>
  </xdr:twoCellAnchor>
  <xdr:twoCellAnchor>
    <xdr:from>
      <xdr:col>7</xdr:col>
      <xdr:colOff>448682</xdr:colOff>
      <xdr:row>15</xdr:row>
      <xdr:rowOff>169431</xdr:rowOff>
    </xdr:from>
    <xdr:to>
      <xdr:col>17</xdr:col>
      <xdr:colOff>295835</xdr:colOff>
      <xdr:row>26</xdr:row>
      <xdr:rowOff>107577</xdr:rowOff>
    </xdr:to>
    <xdr:sp macro="" textlink="">
      <xdr:nvSpPr>
        <xdr:cNvPr id="21" name="Rectangle: Rounded Corners 20">
          <a:extLst>
            <a:ext uri="{FF2B5EF4-FFF2-40B4-BE49-F238E27FC236}">
              <a16:creationId xmlns:a16="http://schemas.microsoft.com/office/drawing/2014/main" id="{9C7E767B-57B4-4177-A4D0-415A02DA6A39}"/>
            </a:ext>
          </a:extLst>
        </xdr:cNvPr>
        <xdr:cNvSpPr/>
      </xdr:nvSpPr>
      <xdr:spPr>
        <a:xfrm>
          <a:off x="4715882" y="2858843"/>
          <a:ext cx="5943153" cy="1910381"/>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baseline="0">
            <a:solidFill>
              <a:schemeClr val="tx1"/>
            </a:solidFill>
          </a:endParaRPr>
        </a:p>
        <a:p>
          <a:pPr algn="l"/>
          <a:endParaRPr lang="en-IN" sz="1400" b="1" baseline="0">
            <a:solidFill>
              <a:schemeClr val="tx1"/>
            </a:solidFill>
          </a:endParaRPr>
        </a:p>
        <a:p>
          <a:pPr algn="l"/>
          <a:endParaRPr lang="en-IN" sz="1400" b="1" baseline="0">
            <a:solidFill>
              <a:schemeClr val="tx1"/>
            </a:solidFill>
          </a:endParaRPr>
        </a:p>
        <a:p>
          <a:pPr algn="l"/>
          <a:r>
            <a:rPr lang="en-IN" sz="1400" b="1" baseline="0">
              <a:solidFill>
                <a:schemeClr val="tx1"/>
              </a:solidFill>
            </a:rPr>
            <a:t>-&gt; Average salary by department</a:t>
          </a:r>
        </a:p>
        <a:p>
          <a:pPr algn="l"/>
          <a:endParaRPr lang="en-IN" sz="1400" b="1" baseline="0">
            <a:solidFill>
              <a:schemeClr val="tx1"/>
            </a:solidFill>
          </a:endParaRPr>
        </a:p>
        <a:p>
          <a:pPr algn="l"/>
          <a:r>
            <a:rPr lang="en-IN" sz="1400" b="1" baseline="0">
              <a:solidFill>
                <a:schemeClr val="tx1"/>
              </a:solidFill>
            </a:rPr>
            <a:t>-&gt; Department - wise salary comparison</a:t>
          </a:r>
        </a:p>
        <a:p>
          <a:pPr algn="l"/>
          <a:endParaRPr lang="en-IN" sz="1400" b="1" baseline="0">
            <a:solidFill>
              <a:schemeClr val="tx1"/>
            </a:solidFill>
          </a:endParaRPr>
        </a:p>
        <a:p>
          <a:pPr algn="l"/>
          <a:r>
            <a:rPr lang="en-IN" sz="1400" b="1" baseline="0">
              <a:solidFill>
                <a:schemeClr val="tx1"/>
              </a:solidFill>
            </a:rPr>
            <a:t>-&gt; Helps in identifying top paying departments</a:t>
          </a:r>
          <a:endParaRPr lang="en-IN" sz="1400" b="1">
            <a:solidFill>
              <a:schemeClr val="tx1"/>
            </a:solidFill>
          </a:endParaRPr>
        </a:p>
      </xdr:txBody>
    </xdr:sp>
    <xdr:clientData/>
  </xdr:twoCellAnchor>
  <xdr:twoCellAnchor>
    <xdr:from>
      <xdr:col>7</xdr:col>
      <xdr:colOff>457648</xdr:colOff>
      <xdr:row>15</xdr:row>
      <xdr:rowOff>170329</xdr:rowOff>
    </xdr:from>
    <xdr:to>
      <xdr:col>17</xdr:col>
      <xdr:colOff>304800</xdr:colOff>
      <xdr:row>18</xdr:row>
      <xdr:rowOff>125507</xdr:rowOff>
    </xdr:to>
    <xdr:sp macro="" textlink="">
      <xdr:nvSpPr>
        <xdr:cNvPr id="22" name="Rectangle: Rounded Corners 21">
          <a:extLst>
            <a:ext uri="{FF2B5EF4-FFF2-40B4-BE49-F238E27FC236}">
              <a16:creationId xmlns:a16="http://schemas.microsoft.com/office/drawing/2014/main" id="{A72B460E-29A7-4445-8386-60B73ED83438}"/>
            </a:ext>
          </a:extLst>
        </xdr:cNvPr>
        <xdr:cNvSpPr/>
      </xdr:nvSpPr>
      <xdr:spPr>
        <a:xfrm>
          <a:off x="4724848" y="2905909"/>
          <a:ext cx="5943152" cy="503818"/>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bg1"/>
            </a:solidFill>
          </a:endParaRPr>
        </a:p>
      </xdr:txBody>
    </xdr:sp>
    <xdr:clientData/>
  </xdr:twoCellAnchor>
  <xdr:twoCellAnchor>
    <xdr:from>
      <xdr:col>9</xdr:col>
      <xdr:colOff>331695</xdr:colOff>
      <xdr:row>16</xdr:row>
      <xdr:rowOff>44823</xdr:rowOff>
    </xdr:from>
    <xdr:to>
      <xdr:col>16</xdr:col>
      <xdr:colOff>188259</xdr:colOff>
      <xdr:row>18</xdr:row>
      <xdr:rowOff>35859</xdr:rowOff>
    </xdr:to>
    <xdr:sp macro="" textlink="">
      <xdr:nvSpPr>
        <xdr:cNvPr id="23" name="Rectangle: Rounded Corners 22">
          <a:extLst>
            <a:ext uri="{FF2B5EF4-FFF2-40B4-BE49-F238E27FC236}">
              <a16:creationId xmlns:a16="http://schemas.microsoft.com/office/drawing/2014/main" id="{95D425AD-5EDB-4433-AD81-5D9D902E7CAF}"/>
            </a:ext>
          </a:extLst>
        </xdr:cNvPr>
        <xdr:cNvSpPr/>
      </xdr:nvSpPr>
      <xdr:spPr>
        <a:xfrm>
          <a:off x="5818095" y="2963283"/>
          <a:ext cx="4123764" cy="3567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Key Insights :</a:t>
          </a:r>
        </a:p>
      </xdr:txBody>
    </xdr:sp>
    <xdr:clientData/>
  </xdr:twoCellAnchor>
  <xdr:twoCellAnchor>
    <xdr:from>
      <xdr:col>4</xdr:col>
      <xdr:colOff>367553</xdr:colOff>
      <xdr:row>30</xdr:row>
      <xdr:rowOff>0</xdr:rowOff>
    </xdr:from>
    <xdr:to>
      <xdr:col>11</xdr:col>
      <xdr:colOff>62753</xdr:colOff>
      <xdr:row>32</xdr:row>
      <xdr:rowOff>107577</xdr:rowOff>
    </xdr:to>
    <xdr:sp macro="" textlink="">
      <xdr:nvSpPr>
        <xdr:cNvPr id="25" name="Rectangle: Rounded Corners 24">
          <a:extLst>
            <a:ext uri="{FF2B5EF4-FFF2-40B4-BE49-F238E27FC236}">
              <a16:creationId xmlns:a16="http://schemas.microsoft.com/office/drawing/2014/main" id="{D4F05201-4CB5-4187-B09D-48AA58648A89}"/>
            </a:ext>
          </a:extLst>
        </xdr:cNvPr>
        <xdr:cNvSpPr/>
      </xdr:nvSpPr>
      <xdr:spPr>
        <a:xfrm>
          <a:off x="2805953" y="5478780"/>
          <a:ext cx="3962400" cy="4733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  </a:t>
          </a:r>
        </a:p>
      </xdr:txBody>
    </xdr:sp>
    <xdr:clientData/>
  </xdr:twoCellAnchor>
  <xdr:twoCellAnchor editAs="oneCell">
    <xdr:from>
      <xdr:col>8</xdr:col>
      <xdr:colOff>215153</xdr:colOff>
      <xdr:row>6</xdr:row>
      <xdr:rowOff>161363</xdr:rowOff>
    </xdr:from>
    <xdr:to>
      <xdr:col>10</xdr:col>
      <xdr:colOff>44823</xdr:colOff>
      <xdr:row>12</xdr:row>
      <xdr:rowOff>134469</xdr:rowOff>
    </xdr:to>
    <xdr:pic>
      <xdr:nvPicPr>
        <xdr:cNvPr id="39" name="Graphic 38" descr="Rupee">
          <a:extLst>
            <a:ext uri="{FF2B5EF4-FFF2-40B4-BE49-F238E27FC236}">
              <a16:creationId xmlns:a16="http://schemas.microsoft.com/office/drawing/2014/main" id="{C4101AB1-3558-5B7A-E365-3CB2B3C6803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091953" y="1237128"/>
          <a:ext cx="1048870" cy="1048870"/>
        </a:xfrm>
        <a:prstGeom prst="rect">
          <a:avLst/>
        </a:prstGeom>
      </xdr:spPr>
    </xdr:pic>
    <xdr:clientData/>
  </xdr:twoCellAnchor>
  <xdr:twoCellAnchor>
    <xdr:from>
      <xdr:col>5</xdr:col>
      <xdr:colOff>17929</xdr:colOff>
      <xdr:row>28</xdr:row>
      <xdr:rowOff>115645</xdr:rowOff>
    </xdr:from>
    <xdr:to>
      <xdr:col>22</xdr:col>
      <xdr:colOff>564776</xdr:colOff>
      <xdr:row>35</xdr:row>
      <xdr:rowOff>134472</xdr:rowOff>
    </xdr:to>
    <xdr:sp macro="" textlink="">
      <xdr:nvSpPr>
        <xdr:cNvPr id="46" name="Rectangle: Rounded Corners 45">
          <a:extLst>
            <a:ext uri="{FF2B5EF4-FFF2-40B4-BE49-F238E27FC236}">
              <a16:creationId xmlns:a16="http://schemas.microsoft.com/office/drawing/2014/main" id="{9790BB53-664F-CBAE-7BD3-27C2BB9E4646}"/>
            </a:ext>
          </a:extLst>
        </xdr:cNvPr>
        <xdr:cNvSpPr/>
      </xdr:nvSpPr>
      <xdr:spPr>
        <a:xfrm>
          <a:off x="3065929" y="5135880"/>
          <a:ext cx="10910047" cy="1273886"/>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000" b="1" baseline="0">
            <a:solidFill>
              <a:schemeClr val="tx1"/>
            </a:solidFill>
          </a:endParaRPr>
        </a:p>
        <a:p>
          <a:pPr algn="ctr"/>
          <a:r>
            <a:rPr lang="en-IN" sz="2000" b="1" baseline="0">
              <a:solidFill>
                <a:schemeClr val="tx1"/>
              </a:solidFill>
            </a:rPr>
            <a:t>Average Salary By Department</a:t>
          </a:r>
        </a:p>
      </xdr:txBody>
    </xdr:sp>
    <xdr:clientData/>
  </xdr:twoCellAnchor>
  <xdr:twoCellAnchor>
    <xdr:from>
      <xdr:col>5</xdr:col>
      <xdr:colOff>36307</xdr:colOff>
      <xdr:row>28</xdr:row>
      <xdr:rowOff>134470</xdr:rowOff>
    </xdr:from>
    <xdr:to>
      <xdr:col>22</xdr:col>
      <xdr:colOff>573741</xdr:colOff>
      <xdr:row>31</xdr:row>
      <xdr:rowOff>0</xdr:rowOff>
    </xdr:to>
    <xdr:sp macro="" textlink="">
      <xdr:nvSpPr>
        <xdr:cNvPr id="47" name="Rectangle: Rounded Corners 46">
          <a:extLst>
            <a:ext uri="{FF2B5EF4-FFF2-40B4-BE49-F238E27FC236}">
              <a16:creationId xmlns:a16="http://schemas.microsoft.com/office/drawing/2014/main" id="{EFF15321-A552-926D-EC55-2349B282BBAA}"/>
            </a:ext>
          </a:extLst>
        </xdr:cNvPr>
        <xdr:cNvSpPr/>
      </xdr:nvSpPr>
      <xdr:spPr>
        <a:xfrm>
          <a:off x="3084307" y="5154705"/>
          <a:ext cx="10900634" cy="403413"/>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lumMod val="95000"/>
                </a:schemeClr>
              </a:solidFill>
            </a:rPr>
            <a:t>  Visuals Included</a:t>
          </a:r>
          <a:r>
            <a:rPr lang="en-IN" sz="1800" b="1" baseline="0">
              <a:solidFill>
                <a:schemeClr val="bg1">
                  <a:lumMod val="95000"/>
                </a:schemeClr>
              </a:solidFill>
            </a:rPr>
            <a:t> :</a:t>
          </a:r>
          <a:endParaRPr lang="en-IN" sz="1800" b="1">
            <a:solidFill>
              <a:schemeClr val="bg1">
                <a:lumMod val="95000"/>
              </a:schemeClr>
            </a:solidFill>
          </a:endParaRPr>
        </a:p>
      </xdr:txBody>
    </xdr:sp>
    <xdr:clientData/>
  </xdr:twoCellAnchor>
  <xdr:twoCellAnchor editAs="oneCell">
    <xdr:from>
      <xdr:col>10</xdr:col>
      <xdr:colOff>80683</xdr:colOff>
      <xdr:row>31</xdr:row>
      <xdr:rowOff>80682</xdr:rowOff>
    </xdr:from>
    <xdr:to>
      <xdr:col>11</xdr:col>
      <xdr:colOff>71718</xdr:colOff>
      <xdr:row>34</xdr:row>
      <xdr:rowOff>143435</xdr:rowOff>
    </xdr:to>
    <xdr:pic>
      <xdr:nvPicPr>
        <xdr:cNvPr id="49" name="Graphic 48" descr="Bar graph with upward trend">
          <a:extLst>
            <a:ext uri="{FF2B5EF4-FFF2-40B4-BE49-F238E27FC236}">
              <a16:creationId xmlns:a16="http://schemas.microsoft.com/office/drawing/2014/main" id="{C842A02A-1E57-BD1C-9DD9-360C86E6B8E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176683" y="5638800"/>
          <a:ext cx="600635" cy="6006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411480</xdr:colOff>
      <xdr:row>17</xdr:row>
      <xdr:rowOff>91440</xdr:rowOff>
    </xdr:from>
    <xdr:to>
      <xdr:col>10</xdr:col>
      <xdr:colOff>266700</xdr:colOff>
      <xdr:row>25</xdr:row>
      <xdr:rowOff>15240</xdr:rowOff>
    </xdr:to>
    <xdr:graphicFrame macro="">
      <xdr:nvGraphicFramePr>
        <xdr:cNvPr id="2" name="Chart 1">
          <a:extLst>
            <a:ext uri="{FF2B5EF4-FFF2-40B4-BE49-F238E27FC236}">
              <a16:creationId xmlns:a16="http://schemas.microsoft.com/office/drawing/2014/main" id="{B80DCB0C-01B5-5FCC-5D62-FFB035562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20</xdr:row>
      <xdr:rowOff>76201</xdr:rowOff>
    </xdr:from>
    <xdr:to>
      <xdr:col>15</xdr:col>
      <xdr:colOff>190500</xdr:colOff>
      <xdr:row>24</xdr:row>
      <xdr:rowOff>30481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AC4E57B-FBCA-98B3-9ACB-2EFDB1997C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89720" y="3733801"/>
              <a:ext cx="18288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18</xdr:row>
      <xdr:rowOff>1</xdr:rowOff>
    </xdr:from>
    <xdr:to>
      <xdr:col>18</xdr:col>
      <xdr:colOff>571500</xdr:colOff>
      <xdr:row>24</xdr:row>
      <xdr:rowOff>99060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098290CA-A680-3E1A-699F-503543F97D1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399520" y="3291841"/>
              <a:ext cx="18288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7</xdr:row>
      <xdr:rowOff>144781</xdr:rowOff>
    </xdr:from>
    <xdr:to>
      <xdr:col>19</xdr:col>
      <xdr:colOff>266700</xdr:colOff>
      <xdr:row>15</xdr:row>
      <xdr:rowOff>144780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014E233E-473D-6409-1A11-3BC1E866A54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77600" y="1424941"/>
              <a:ext cx="225552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236220</xdr:colOff>
      <xdr:row>7</xdr:row>
      <xdr:rowOff>137161</xdr:rowOff>
    </xdr:from>
    <xdr:to>
      <xdr:col>15</xdr:col>
      <xdr:colOff>236220</xdr:colOff>
      <xdr:row>11</xdr:row>
      <xdr:rowOff>76200</xdr:rowOff>
    </xdr:to>
    <mc:AlternateContent xmlns:mc="http://schemas.openxmlformats.org/markup-compatibility/2006" xmlns:a14="http://schemas.microsoft.com/office/drawing/2010/main">
      <mc:Choice Requires="a14">
        <xdr:graphicFrame macro="">
          <xdr:nvGraphicFramePr>
            <xdr:cNvPr id="6" name="Employment Type">
              <a:extLst>
                <a:ext uri="{FF2B5EF4-FFF2-40B4-BE49-F238E27FC236}">
                  <a16:creationId xmlns:a16="http://schemas.microsoft.com/office/drawing/2014/main" id="{6626D8CC-D5AC-4EC3-6212-7974CA313D4F}"/>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mlns="">
        <xdr:sp macro="" textlink="">
          <xdr:nvSpPr>
            <xdr:cNvPr id="0" name=""/>
            <xdr:cNvSpPr>
              <a:spLocks noTextEdit="1"/>
            </xdr:cNvSpPr>
          </xdr:nvSpPr>
          <xdr:spPr>
            <a:xfrm>
              <a:off x="9235440" y="1417321"/>
              <a:ext cx="18288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28</xdr:row>
      <xdr:rowOff>144780</xdr:rowOff>
    </xdr:from>
    <xdr:to>
      <xdr:col>18</xdr:col>
      <xdr:colOff>289560</xdr:colOff>
      <xdr:row>35</xdr:row>
      <xdr:rowOff>83820</xdr:rowOff>
    </xdr:to>
    <mc:AlternateContent xmlns:mc="http://schemas.openxmlformats.org/markup-compatibility/2006" xmlns:tsle="http://schemas.microsoft.com/office/drawing/2012/timeslicer">
      <mc:Choice Requires="tsle">
        <xdr:graphicFrame macro="">
          <xdr:nvGraphicFramePr>
            <xdr:cNvPr id="7" name="Joining Date">
              <a:extLst>
                <a:ext uri="{FF2B5EF4-FFF2-40B4-BE49-F238E27FC236}">
                  <a16:creationId xmlns:a16="http://schemas.microsoft.com/office/drawing/2014/main" id="{E70DF84E-28D6-608D-9A52-15FABE614E2B}"/>
                </a:ext>
              </a:extLst>
            </xdr:cNvPr>
            <xdr:cNvGraphicFramePr/>
          </xdr:nvGraphicFramePr>
          <xdr:xfrm>
            <a:off x="0" y="0"/>
            <a:ext cx="0" cy="0"/>
          </xdr:xfrm>
          <a:graphic>
            <a:graphicData uri="http://schemas.microsoft.com/office/drawing/2012/timeslicer">
              <tsle:timeslicer name="Joining Date"/>
            </a:graphicData>
          </a:graphic>
        </xdr:graphicFrame>
      </mc:Choice>
      <mc:Fallback xmlns="">
        <xdr:sp macro="" textlink="">
          <xdr:nvSpPr>
            <xdr:cNvPr id="0" name=""/>
            <xdr:cNvSpPr>
              <a:spLocks noTextEdit="1"/>
            </xdr:cNvSpPr>
          </xdr:nvSpPr>
          <xdr:spPr>
            <a:xfrm>
              <a:off x="9608820" y="5265420"/>
              <a:ext cx="3337560" cy="1219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15240</xdr:colOff>
      <xdr:row>27</xdr:row>
      <xdr:rowOff>7620</xdr:rowOff>
    </xdr:from>
    <xdr:to>
      <xdr:col>9</xdr:col>
      <xdr:colOff>365760</xdr:colOff>
      <xdr:row>34</xdr:row>
      <xdr:rowOff>129540</xdr:rowOff>
    </xdr:to>
    <xdr:graphicFrame macro="">
      <xdr:nvGraphicFramePr>
        <xdr:cNvPr id="8" name="Chart 7">
          <a:extLst>
            <a:ext uri="{FF2B5EF4-FFF2-40B4-BE49-F238E27FC236}">
              <a16:creationId xmlns:a16="http://schemas.microsoft.com/office/drawing/2014/main" id="{428EBFAD-7FBB-1B49-6E52-3E5604C38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36</xdr:row>
      <xdr:rowOff>137160</xdr:rowOff>
    </xdr:from>
    <xdr:to>
      <xdr:col>10</xdr:col>
      <xdr:colOff>350520</xdr:colOff>
      <xdr:row>46</xdr:row>
      <xdr:rowOff>53340</xdr:rowOff>
    </xdr:to>
    <xdr:graphicFrame macro="">
      <xdr:nvGraphicFramePr>
        <xdr:cNvPr id="9" name="Chart 8">
          <a:extLst>
            <a:ext uri="{FF2B5EF4-FFF2-40B4-BE49-F238E27FC236}">
              <a16:creationId xmlns:a16="http://schemas.microsoft.com/office/drawing/2014/main" id="{8241E5EC-47E4-77D5-B1A9-F62DF9E17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548640</xdr:colOff>
      <xdr:row>64</xdr:row>
      <xdr:rowOff>7620</xdr:rowOff>
    </xdr:from>
    <xdr:to>
      <xdr:col>11</xdr:col>
      <xdr:colOff>15240</xdr:colOff>
      <xdr:row>74</xdr:row>
      <xdr:rowOff>91440</xdr:rowOff>
    </xdr:to>
    <xdr:graphicFrame macro="">
      <xdr:nvGraphicFramePr>
        <xdr:cNvPr id="11" name="Chart 10">
          <a:extLst>
            <a:ext uri="{FF2B5EF4-FFF2-40B4-BE49-F238E27FC236}">
              <a16:creationId xmlns:a16="http://schemas.microsoft.com/office/drawing/2014/main" id="{70F7CC73-2659-1B66-707E-97662B00B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373380</xdr:colOff>
      <xdr:row>50</xdr:row>
      <xdr:rowOff>167640</xdr:rowOff>
    </xdr:from>
    <xdr:to>
      <xdr:col>10</xdr:col>
      <xdr:colOff>144780</xdr:colOff>
      <xdr:row>59</xdr:row>
      <xdr:rowOff>91440</xdr:rowOff>
    </xdr:to>
    <xdr:graphicFrame macro="">
      <xdr:nvGraphicFramePr>
        <xdr:cNvPr id="12" name="Chart 11">
          <a:extLst>
            <a:ext uri="{FF2B5EF4-FFF2-40B4-BE49-F238E27FC236}">
              <a16:creationId xmlns:a16="http://schemas.microsoft.com/office/drawing/2014/main" id="{46EFCAC5-4FDF-ED10-9373-930CED014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571500</xdr:colOff>
      <xdr:row>81</xdr:row>
      <xdr:rowOff>99060</xdr:rowOff>
    </xdr:from>
    <xdr:to>
      <xdr:col>10</xdr:col>
      <xdr:colOff>45720</xdr:colOff>
      <xdr:row>90</xdr:row>
      <xdr:rowOff>106680</xdr:rowOff>
    </xdr:to>
    <xdr:graphicFrame macro="">
      <xdr:nvGraphicFramePr>
        <xdr:cNvPr id="13" name="Chart 12">
          <a:extLst>
            <a:ext uri="{FF2B5EF4-FFF2-40B4-BE49-F238E27FC236}">
              <a16:creationId xmlns:a16="http://schemas.microsoft.com/office/drawing/2014/main" id="{D7790898-EBF9-4F0E-A3F0-131B7B0AF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583154</xdr:colOff>
      <xdr:row>0</xdr:row>
      <xdr:rowOff>79783</xdr:rowOff>
    </xdr:from>
    <xdr:to>
      <xdr:col>25</xdr:col>
      <xdr:colOff>98612</xdr:colOff>
      <xdr:row>42</xdr:row>
      <xdr:rowOff>53787</xdr:rowOff>
    </xdr:to>
    <xdr:sp macro="" textlink="">
      <xdr:nvSpPr>
        <xdr:cNvPr id="2" name="Rectangle 1">
          <a:extLst>
            <a:ext uri="{FF2B5EF4-FFF2-40B4-BE49-F238E27FC236}">
              <a16:creationId xmlns:a16="http://schemas.microsoft.com/office/drawing/2014/main" id="{B8750516-B092-422D-A40F-84161C37451D}"/>
            </a:ext>
          </a:extLst>
        </xdr:cNvPr>
        <xdr:cNvSpPr/>
      </xdr:nvSpPr>
      <xdr:spPr>
        <a:xfrm>
          <a:off x="583154" y="79783"/>
          <a:ext cx="14755458" cy="750435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b="1">
            <a:solidFill>
              <a:schemeClr val="accent1"/>
            </a:solidFill>
            <a:latin typeface="+mn-lt"/>
            <a:ea typeface="+mn-ea"/>
            <a:cs typeface="+mn-cs"/>
          </a:endParaRPr>
        </a:p>
      </xdr:txBody>
    </xdr:sp>
    <xdr:clientData/>
  </xdr:twoCellAnchor>
  <xdr:twoCellAnchor>
    <xdr:from>
      <xdr:col>0</xdr:col>
      <xdr:colOff>564776</xdr:colOff>
      <xdr:row>0</xdr:row>
      <xdr:rowOff>80683</xdr:rowOff>
    </xdr:from>
    <xdr:to>
      <xdr:col>25</xdr:col>
      <xdr:colOff>71718</xdr:colOff>
      <xdr:row>4</xdr:row>
      <xdr:rowOff>83372</xdr:rowOff>
    </xdr:to>
    <xdr:sp macro="" textlink="">
      <xdr:nvSpPr>
        <xdr:cNvPr id="3" name="Rectangle: Rounded Corners 2">
          <a:extLst>
            <a:ext uri="{FF2B5EF4-FFF2-40B4-BE49-F238E27FC236}">
              <a16:creationId xmlns:a16="http://schemas.microsoft.com/office/drawing/2014/main" id="{5B4FA2EC-2C32-4AA1-BB4C-16F3325044F6}"/>
            </a:ext>
          </a:extLst>
        </xdr:cNvPr>
        <xdr:cNvSpPr/>
      </xdr:nvSpPr>
      <xdr:spPr>
        <a:xfrm>
          <a:off x="564776" y="80683"/>
          <a:ext cx="14746942" cy="719865"/>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600635</xdr:colOff>
      <xdr:row>4</xdr:row>
      <xdr:rowOff>71718</xdr:rowOff>
    </xdr:from>
    <xdr:to>
      <xdr:col>3</xdr:col>
      <xdr:colOff>541468</xdr:colOff>
      <xdr:row>42</xdr:row>
      <xdr:rowOff>53788</xdr:rowOff>
    </xdr:to>
    <xdr:sp macro="" textlink="">
      <xdr:nvSpPr>
        <xdr:cNvPr id="4" name="Rectangle: Rounded Corners 3">
          <a:extLst>
            <a:ext uri="{FF2B5EF4-FFF2-40B4-BE49-F238E27FC236}">
              <a16:creationId xmlns:a16="http://schemas.microsoft.com/office/drawing/2014/main" id="{0FDD13D6-4AA1-4A71-AC38-09286790ABEB}"/>
            </a:ext>
          </a:extLst>
        </xdr:cNvPr>
        <xdr:cNvSpPr/>
      </xdr:nvSpPr>
      <xdr:spPr>
        <a:xfrm>
          <a:off x="600635" y="788894"/>
          <a:ext cx="1769633" cy="6795247"/>
        </a:xfrm>
        <a:prstGeom prst="roundRect">
          <a:avLst>
            <a:gd name="adj" fmla="val 20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xdr:row>
      <xdr:rowOff>144780</xdr:rowOff>
    </xdr:from>
    <xdr:to>
      <xdr:col>16</xdr:col>
      <xdr:colOff>160020</xdr:colOff>
      <xdr:row>4</xdr:row>
      <xdr:rowOff>38100</xdr:rowOff>
    </xdr:to>
    <xdr:sp macro="" textlink="">
      <xdr:nvSpPr>
        <xdr:cNvPr id="5" name="Rectangle: Rounded Corners 4">
          <a:extLst>
            <a:ext uri="{FF2B5EF4-FFF2-40B4-BE49-F238E27FC236}">
              <a16:creationId xmlns:a16="http://schemas.microsoft.com/office/drawing/2014/main" id="{493E30B5-9C42-45F5-9ABD-6B831920AD79}"/>
            </a:ext>
          </a:extLst>
        </xdr:cNvPr>
        <xdr:cNvSpPr/>
      </xdr:nvSpPr>
      <xdr:spPr>
        <a:xfrm>
          <a:off x="3543300" y="327660"/>
          <a:ext cx="6370320" cy="441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n-lt"/>
            </a:rPr>
            <a:t>                                       DEPARTMENT</a:t>
          </a:r>
        </a:p>
      </xdr:txBody>
    </xdr:sp>
    <xdr:clientData/>
  </xdr:twoCellAnchor>
  <xdr:twoCellAnchor>
    <xdr:from>
      <xdr:col>1</xdr:col>
      <xdr:colOff>137160</xdr:colOff>
      <xdr:row>1</xdr:row>
      <xdr:rowOff>53340</xdr:rowOff>
    </xdr:from>
    <xdr:to>
      <xdr:col>4</xdr:col>
      <xdr:colOff>83820</xdr:colOff>
      <xdr:row>4</xdr:row>
      <xdr:rowOff>83820</xdr:rowOff>
    </xdr:to>
    <xdr:sp macro="" textlink="">
      <xdr:nvSpPr>
        <xdr:cNvPr id="6" name="Rectangle: Rounded Corners 5">
          <a:extLst>
            <a:ext uri="{FF2B5EF4-FFF2-40B4-BE49-F238E27FC236}">
              <a16:creationId xmlns:a16="http://schemas.microsoft.com/office/drawing/2014/main" id="{28D6E402-F761-47B4-8BDB-187598AC2D92}"/>
            </a:ext>
          </a:extLst>
        </xdr:cNvPr>
        <xdr:cNvSpPr/>
      </xdr:nvSpPr>
      <xdr:spPr>
        <a:xfrm>
          <a:off x="746760" y="236220"/>
          <a:ext cx="1775460" cy="579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200" b="1"/>
            <a:t>ABC  </a:t>
          </a:r>
        </a:p>
        <a:p>
          <a:pPr algn="l"/>
          <a:r>
            <a:rPr lang="en-IN" sz="1200"/>
            <a:t>                TECHNOLOGIES</a:t>
          </a:r>
        </a:p>
      </xdr:txBody>
    </xdr:sp>
    <xdr:clientData/>
  </xdr:twoCellAnchor>
  <xdr:twoCellAnchor editAs="oneCell">
    <xdr:from>
      <xdr:col>1</xdr:col>
      <xdr:colOff>137160</xdr:colOff>
      <xdr:row>1</xdr:row>
      <xdr:rowOff>45720</xdr:rowOff>
    </xdr:from>
    <xdr:to>
      <xdr:col>2</xdr:col>
      <xdr:colOff>152400</xdr:colOff>
      <xdr:row>4</xdr:row>
      <xdr:rowOff>121920</xdr:rowOff>
    </xdr:to>
    <xdr:pic>
      <xdr:nvPicPr>
        <xdr:cNvPr id="7" name="Graphic 6" descr="Users">
          <a:extLst>
            <a:ext uri="{FF2B5EF4-FFF2-40B4-BE49-F238E27FC236}">
              <a16:creationId xmlns:a16="http://schemas.microsoft.com/office/drawing/2014/main" id="{48F31DD7-0834-4124-BF6F-DE903229B5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228600"/>
          <a:ext cx="624840" cy="624840"/>
        </a:xfrm>
        <a:prstGeom prst="rect">
          <a:avLst/>
        </a:prstGeom>
      </xdr:spPr>
    </xdr:pic>
    <xdr:clientData/>
  </xdr:twoCellAnchor>
  <xdr:twoCellAnchor>
    <xdr:from>
      <xdr:col>1</xdr:col>
      <xdr:colOff>121920</xdr:colOff>
      <xdr:row>6</xdr:row>
      <xdr:rowOff>22860</xdr:rowOff>
    </xdr:from>
    <xdr:to>
      <xdr:col>3</xdr:col>
      <xdr:colOff>335280</xdr:colOff>
      <xdr:row>8</xdr:row>
      <xdr:rowOff>121920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1AB353EE-CA1E-4737-A7F1-4E5C3BEFAA0F}"/>
            </a:ext>
          </a:extLst>
        </xdr:cNvPr>
        <xdr:cNvSpPr/>
      </xdr:nvSpPr>
      <xdr:spPr>
        <a:xfrm>
          <a:off x="731520" y="1112520"/>
          <a:ext cx="143256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Overview</a:t>
          </a:r>
        </a:p>
      </xdr:txBody>
    </xdr:sp>
    <xdr:clientData/>
  </xdr:twoCellAnchor>
  <xdr:twoCellAnchor>
    <xdr:from>
      <xdr:col>1</xdr:col>
      <xdr:colOff>106680</xdr:colOff>
      <xdr:row>9</xdr:row>
      <xdr:rowOff>30480</xdr:rowOff>
    </xdr:from>
    <xdr:to>
      <xdr:col>3</xdr:col>
      <xdr:colOff>312420</xdr:colOff>
      <xdr:row>11</xdr:row>
      <xdr:rowOff>160020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7B63640D-C5E9-44DB-BF26-FC8EBC69A038}"/>
            </a:ext>
          </a:extLst>
        </xdr:cNvPr>
        <xdr:cNvSpPr/>
      </xdr:nvSpPr>
      <xdr:spPr>
        <a:xfrm>
          <a:off x="716280" y="1668780"/>
          <a:ext cx="1424940" cy="495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      Department</a:t>
          </a:r>
        </a:p>
      </xdr:txBody>
    </xdr:sp>
    <xdr:clientData/>
  </xdr:twoCellAnchor>
  <xdr:twoCellAnchor>
    <xdr:from>
      <xdr:col>1</xdr:col>
      <xdr:colOff>106680</xdr:colOff>
      <xdr:row>12</xdr:row>
      <xdr:rowOff>114300</xdr:rowOff>
    </xdr:from>
    <xdr:to>
      <xdr:col>3</xdr:col>
      <xdr:colOff>342900</xdr:colOff>
      <xdr:row>15</xdr:row>
      <xdr:rowOff>30480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6D716BDA-1DE2-46CC-B763-E20F123F1044}"/>
            </a:ext>
          </a:extLst>
        </xdr:cNvPr>
        <xdr:cNvSpPr/>
      </xdr:nvSpPr>
      <xdr:spPr>
        <a:xfrm>
          <a:off x="716280" y="2301240"/>
          <a:ext cx="145542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t>
          </a:r>
          <a:r>
            <a:rPr lang="en-IN" sz="1200"/>
            <a:t>Salary</a:t>
          </a:r>
          <a:r>
            <a:rPr lang="en-IN" sz="1200" baseline="0"/>
            <a:t> Analysis</a:t>
          </a:r>
          <a:endParaRPr lang="en-IN" sz="1200"/>
        </a:p>
      </xdr:txBody>
    </xdr:sp>
    <xdr:clientData/>
  </xdr:twoCellAnchor>
  <xdr:twoCellAnchor>
    <xdr:from>
      <xdr:col>1</xdr:col>
      <xdr:colOff>129540</xdr:colOff>
      <xdr:row>15</xdr:row>
      <xdr:rowOff>144780</xdr:rowOff>
    </xdr:from>
    <xdr:to>
      <xdr:col>3</xdr:col>
      <xdr:colOff>396240</xdr:colOff>
      <xdr:row>18</xdr:row>
      <xdr:rowOff>137160</xdr:rowOff>
    </xdr:to>
    <xdr:sp macro="" textlink="">
      <xdr:nvSpPr>
        <xdr:cNvPr id="11" name="Rectangle: Rounded Corners 10">
          <a:extLst>
            <a:ext uri="{FF2B5EF4-FFF2-40B4-BE49-F238E27FC236}">
              <a16:creationId xmlns:a16="http://schemas.microsoft.com/office/drawing/2014/main" id="{68BEB966-98A4-4CAA-9913-E3DB88A55794}"/>
            </a:ext>
          </a:extLst>
        </xdr:cNvPr>
        <xdr:cNvSpPr/>
      </xdr:nvSpPr>
      <xdr:spPr>
        <a:xfrm>
          <a:off x="739140" y="2880360"/>
          <a:ext cx="148590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Employee Details</a:t>
          </a:r>
          <a:endParaRPr lang="en-IN" sz="1200"/>
        </a:p>
      </xdr:txBody>
    </xdr:sp>
    <xdr:clientData/>
  </xdr:twoCellAnchor>
  <xdr:twoCellAnchor>
    <xdr:from>
      <xdr:col>1</xdr:col>
      <xdr:colOff>121920</xdr:colOff>
      <xdr:row>19</xdr:row>
      <xdr:rowOff>45720</xdr:rowOff>
    </xdr:from>
    <xdr:to>
      <xdr:col>3</xdr:col>
      <xdr:colOff>350520</xdr:colOff>
      <xdr:row>21</xdr:row>
      <xdr:rowOff>175260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C80452AD-2F40-49E0-B8C3-7167DC537E2E}"/>
            </a:ext>
          </a:extLst>
        </xdr:cNvPr>
        <xdr:cNvSpPr/>
      </xdr:nvSpPr>
      <xdr:spPr>
        <a:xfrm>
          <a:off x="731520" y="3512820"/>
          <a:ext cx="14478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About</a:t>
          </a:r>
          <a:endParaRPr lang="en-IN" sz="1200"/>
        </a:p>
      </xdr:txBody>
    </xdr:sp>
    <xdr:clientData/>
  </xdr:twoCellAnchor>
  <xdr:twoCellAnchor editAs="oneCell">
    <xdr:from>
      <xdr:col>1</xdr:col>
      <xdr:colOff>205740</xdr:colOff>
      <xdr:row>6</xdr:row>
      <xdr:rowOff>30480</xdr:rowOff>
    </xdr:from>
    <xdr:to>
      <xdr:col>2</xdr:col>
      <xdr:colOff>22860</xdr:colOff>
      <xdr:row>8</xdr:row>
      <xdr:rowOff>91440</xdr:rowOff>
    </xdr:to>
    <xdr:pic>
      <xdr:nvPicPr>
        <xdr:cNvPr id="13" name="Graphic 12" descr="House">
          <a:extLst>
            <a:ext uri="{FF2B5EF4-FFF2-40B4-BE49-F238E27FC236}">
              <a16:creationId xmlns:a16="http://schemas.microsoft.com/office/drawing/2014/main" id="{A5E76336-46F9-4F0B-A125-08D85AB685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5340" y="1120140"/>
          <a:ext cx="426720" cy="426720"/>
        </a:xfrm>
        <a:prstGeom prst="rect">
          <a:avLst/>
        </a:prstGeom>
      </xdr:spPr>
    </xdr:pic>
    <xdr:clientData/>
  </xdr:twoCellAnchor>
  <xdr:twoCellAnchor editAs="oneCell">
    <xdr:from>
      <xdr:col>1</xdr:col>
      <xdr:colOff>137160</xdr:colOff>
      <xdr:row>9</xdr:row>
      <xdr:rowOff>91440</xdr:rowOff>
    </xdr:from>
    <xdr:to>
      <xdr:col>1</xdr:col>
      <xdr:colOff>533400</xdr:colOff>
      <xdr:row>11</xdr:row>
      <xdr:rowOff>121920</xdr:rowOff>
    </xdr:to>
    <xdr:pic>
      <xdr:nvPicPr>
        <xdr:cNvPr id="14" name="Graphic 13" descr="Users">
          <a:extLst>
            <a:ext uri="{FF2B5EF4-FFF2-40B4-BE49-F238E27FC236}">
              <a16:creationId xmlns:a16="http://schemas.microsoft.com/office/drawing/2014/main" id="{65A465A6-1E8D-4B8F-B25C-9AF0AFB382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6760" y="1705087"/>
          <a:ext cx="396240" cy="389068"/>
        </a:xfrm>
        <a:prstGeom prst="rect">
          <a:avLst/>
        </a:prstGeom>
      </xdr:spPr>
    </xdr:pic>
    <xdr:clientData/>
  </xdr:twoCellAnchor>
  <xdr:twoCellAnchor editAs="oneCell">
    <xdr:from>
      <xdr:col>1</xdr:col>
      <xdr:colOff>129540</xdr:colOff>
      <xdr:row>12</xdr:row>
      <xdr:rowOff>167640</xdr:rowOff>
    </xdr:from>
    <xdr:to>
      <xdr:col>1</xdr:col>
      <xdr:colOff>525780</xdr:colOff>
      <xdr:row>15</xdr:row>
      <xdr:rowOff>15240</xdr:rowOff>
    </xdr:to>
    <xdr:pic>
      <xdr:nvPicPr>
        <xdr:cNvPr id="15" name="Graphic 14" descr="Rupee">
          <a:extLst>
            <a:ext uri="{FF2B5EF4-FFF2-40B4-BE49-F238E27FC236}">
              <a16:creationId xmlns:a16="http://schemas.microsoft.com/office/drawing/2014/main" id="{94808080-9B9B-4E77-BBE5-3FB9C8CFD60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9140" y="2354580"/>
          <a:ext cx="396240" cy="396240"/>
        </a:xfrm>
        <a:prstGeom prst="rect">
          <a:avLst/>
        </a:prstGeom>
      </xdr:spPr>
    </xdr:pic>
    <xdr:clientData/>
  </xdr:twoCellAnchor>
  <xdr:twoCellAnchor editAs="oneCell">
    <xdr:from>
      <xdr:col>1</xdr:col>
      <xdr:colOff>243840</xdr:colOff>
      <xdr:row>16</xdr:row>
      <xdr:rowOff>15240</xdr:rowOff>
    </xdr:from>
    <xdr:to>
      <xdr:col>2</xdr:col>
      <xdr:colOff>38100</xdr:colOff>
      <xdr:row>18</xdr:row>
      <xdr:rowOff>53340</xdr:rowOff>
    </xdr:to>
    <xdr:pic>
      <xdr:nvPicPr>
        <xdr:cNvPr id="16" name="Graphic 15" descr="Office worker">
          <a:hlinkClick xmlns:r="http://schemas.openxmlformats.org/officeDocument/2006/relationships" r:id="rId13"/>
          <a:extLst>
            <a:ext uri="{FF2B5EF4-FFF2-40B4-BE49-F238E27FC236}">
              <a16:creationId xmlns:a16="http://schemas.microsoft.com/office/drawing/2014/main" id="{3D4BA3B4-7D47-45C8-AC43-17CE67A6225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53440" y="2933700"/>
          <a:ext cx="403860" cy="403860"/>
        </a:xfrm>
        <a:prstGeom prst="rect">
          <a:avLst/>
        </a:prstGeom>
      </xdr:spPr>
    </xdr:pic>
    <xdr:clientData/>
  </xdr:twoCellAnchor>
  <xdr:twoCellAnchor editAs="oneCell">
    <xdr:from>
      <xdr:col>1</xdr:col>
      <xdr:colOff>205740</xdr:colOff>
      <xdr:row>19</xdr:row>
      <xdr:rowOff>68580</xdr:rowOff>
    </xdr:from>
    <xdr:to>
      <xdr:col>2</xdr:col>
      <xdr:colOff>22860</xdr:colOff>
      <xdr:row>21</xdr:row>
      <xdr:rowOff>129540</xdr:rowOff>
    </xdr:to>
    <xdr:pic>
      <xdr:nvPicPr>
        <xdr:cNvPr id="17" name="Graphic 16" descr="Exclamation mark">
          <a:extLst>
            <a:ext uri="{FF2B5EF4-FFF2-40B4-BE49-F238E27FC236}">
              <a16:creationId xmlns:a16="http://schemas.microsoft.com/office/drawing/2014/main" id="{F3145908-9311-45EB-83BF-D38B7BFE71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15340" y="3535680"/>
          <a:ext cx="426720" cy="426720"/>
        </a:xfrm>
        <a:prstGeom prst="rect">
          <a:avLst/>
        </a:prstGeom>
      </xdr:spPr>
    </xdr:pic>
    <xdr:clientData/>
  </xdr:twoCellAnchor>
  <xdr:twoCellAnchor>
    <xdr:from>
      <xdr:col>4</xdr:col>
      <xdr:colOff>41238</xdr:colOff>
      <xdr:row>5</xdr:row>
      <xdr:rowOff>76648</xdr:rowOff>
    </xdr:from>
    <xdr:to>
      <xdr:col>23</xdr:col>
      <xdr:colOff>206188</xdr:colOff>
      <xdr:row>14</xdr:row>
      <xdr:rowOff>107577</xdr:rowOff>
    </xdr:to>
    <xdr:sp macro="" textlink="">
      <xdr:nvSpPr>
        <xdr:cNvPr id="56" name="Rectangle: Rounded Corners 55">
          <a:extLst>
            <a:ext uri="{FF2B5EF4-FFF2-40B4-BE49-F238E27FC236}">
              <a16:creationId xmlns:a16="http://schemas.microsoft.com/office/drawing/2014/main" id="{DB4E134E-074E-DAB5-F14C-3E243F6EB064}"/>
            </a:ext>
          </a:extLst>
        </xdr:cNvPr>
        <xdr:cNvSpPr/>
      </xdr:nvSpPr>
      <xdr:spPr>
        <a:xfrm>
          <a:off x="2479638" y="973119"/>
          <a:ext cx="11747350" cy="1644576"/>
        </a:xfrm>
        <a:prstGeom prst="roundRect">
          <a:avLst>
            <a:gd name="adj" fmla="val 11761"/>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200"/>
        </a:p>
      </xdr:txBody>
    </xdr:sp>
    <xdr:clientData/>
  </xdr:twoCellAnchor>
  <xdr:twoCellAnchor editAs="oneCell">
    <xdr:from>
      <xdr:col>8</xdr:col>
      <xdr:colOff>29582</xdr:colOff>
      <xdr:row>7</xdr:row>
      <xdr:rowOff>100403</xdr:rowOff>
    </xdr:from>
    <xdr:to>
      <xdr:col>9</xdr:col>
      <xdr:colOff>358544</xdr:colOff>
      <xdr:row>12</xdr:row>
      <xdr:rowOff>125507</xdr:rowOff>
    </xdr:to>
    <xdr:pic>
      <xdr:nvPicPr>
        <xdr:cNvPr id="57" name="Graphic 56" descr="Users">
          <a:extLst>
            <a:ext uri="{FF2B5EF4-FFF2-40B4-BE49-F238E27FC236}">
              <a16:creationId xmlns:a16="http://schemas.microsoft.com/office/drawing/2014/main" id="{D4D89450-E228-E11D-48F0-6AE9E043E86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906382" y="1355462"/>
          <a:ext cx="938562" cy="921574"/>
        </a:xfrm>
        <a:prstGeom prst="rect">
          <a:avLst/>
        </a:prstGeom>
      </xdr:spPr>
    </xdr:pic>
    <xdr:clientData/>
  </xdr:twoCellAnchor>
  <xdr:twoCellAnchor>
    <xdr:from>
      <xdr:col>9</xdr:col>
      <xdr:colOff>143435</xdr:colOff>
      <xdr:row>8</xdr:row>
      <xdr:rowOff>17931</xdr:rowOff>
    </xdr:from>
    <xdr:to>
      <xdr:col>16</xdr:col>
      <xdr:colOff>8965</xdr:colOff>
      <xdr:row>11</xdr:row>
      <xdr:rowOff>98612</xdr:rowOff>
    </xdr:to>
    <xdr:sp macro="" textlink="">
      <xdr:nvSpPr>
        <xdr:cNvPr id="58" name="Rectangle 57">
          <a:extLst>
            <a:ext uri="{FF2B5EF4-FFF2-40B4-BE49-F238E27FC236}">
              <a16:creationId xmlns:a16="http://schemas.microsoft.com/office/drawing/2014/main" id="{94E2DD56-5451-41E7-DBE1-4CE150EBEE46}"/>
            </a:ext>
          </a:extLst>
        </xdr:cNvPr>
        <xdr:cNvSpPr/>
      </xdr:nvSpPr>
      <xdr:spPr>
        <a:xfrm>
          <a:off x="5629835" y="1452284"/>
          <a:ext cx="4132730" cy="6185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This section provides insights about</a:t>
          </a:r>
        </a:p>
        <a:p>
          <a:pPr algn="ctr"/>
          <a:r>
            <a:rPr lang="en-IN" sz="1400" b="1">
              <a:solidFill>
                <a:schemeClr val="tx1"/>
              </a:solidFill>
            </a:rPr>
            <a:t>employees across different departments</a:t>
          </a:r>
        </a:p>
      </xdr:txBody>
    </xdr:sp>
    <xdr:clientData/>
  </xdr:twoCellAnchor>
  <xdr:twoCellAnchor>
    <xdr:from>
      <xdr:col>7</xdr:col>
      <xdr:colOff>448682</xdr:colOff>
      <xdr:row>15</xdr:row>
      <xdr:rowOff>169431</xdr:rowOff>
    </xdr:from>
    <xdr:to>
      <xdr:col>17</xdr:col>
      <xdr:colOff>295835</xdr:colOff>
      <xdr:row>27</xdr:row>
      <xdr:rowOff>71718</xdr:rowOff>
    </xdr:to>
    <xdr:sp macro="" textlink="">
      <xdr:nvSpPr>
        <xdr:cNvPr id="59" name="Rectangle: Rounded Corners 58">
          <a:extLst>
            <a:ext uri="{FF2B5EF4-FFF2-40B4-BE49-F238E27FC236}">
              <a16:creationId xmlns:a16="http://schemas.microsoft.com/office/drawing/2014/main" id="{C120E607-B407-4761-89A9-92CEBB19F242}"/>
            </a:ext>
          </a:extLst>
        </xdr:cNvPr>
        <xdr:cNvSpPr/>
      </xdr:nvSpPr>
      <xdr:spPr>
        <a:xfrm>
          <a:off x="4715882" y="2858843"/>
          <a:ext cx="5943153" cy="2053816"/>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baseline="0">
            <a:solidFill>
              <a:schemeClr val="tx1"/>
            </a:solidFill>
          </a:endParaRPr>
        </a:p>
        <a:p>
          <a:pPr algn="l"/>
          <a:endParaRPr lang="en-IN" sz="1400" b="1" baseline="0">
            <a:solidFill>
              <a:schemeClr val="tx1"/>
            </a:solidFill>
          </a:endParaRPr>
        </a:p>
        <a:p>
          <a:pPr algn="l"/>
          <a:endParaRPr lang="en-IN" sz="1400" b="1" baseline="0">
            <a:solidFill>
              <a:schemeClr val="tx1"/>
            </a:solidFill>
          </a:endParaRPr>
        </a:p>
        <a:p>
          <a:pPr algn="l"/>
          <a:r>
            <a:rPr lang="en-IN" sz="1400" b="1" baseline="0">
              <a:solidFill>
                <a:schemeClr val="tx1"/>
              </a:solidFill>
            </a:rPr>
            <a:t>-&gt; Total number of employees in each department</a:t>
          </a:r>
        </a:p>
        <a:p>
          <a:pPr algn="l"/>
          <a:endParaRPr lang="en-IN" sz="1400" b="1" baseline="0">
            <a:solidFill>
              <a:schemeClr val="tx1"/>
            </a:solidFill>
          </a:endParaRPr>
        </a:p>
        <a:p>
          <a:pPr algn="l"/>
          <a:r>
            <a:rPr lang="en-IN" sz="1400" b="1" baseline="0">
              <a:solidFill>
                <a:schemeClr val="tx1"/>
              </a:solidFill>
            </a:rPr>
            <a:t>-&gt; Department - wise distribution for better understanding</a:t>
          </a:r>
        </a:p>
        <a:p>
          <a:pPr algn="l"/>
          <a:endParaRPr lang="en-IN" sz="1400" b="1" baseline="0">
            <a:solidFill>
              <a:schemeClr val="tx1"/>
            </a:solidFill>
          </a:endParaRPr>
        </a:p>
        <a:p>
          <a:pPr algn="l"/>
          <a:r>
            <a:rPr lang="en-IN" sz="1400" b="1" baseline="0">
              <a:solidFill>
                <a:schemeClr val="tx1"/>
              </a:solidFill>
            </a:rPr>
            <a:t>-&gt; Helps in resource allocation and workforce planning</a:t>
          </a:r>
          <a:endParaRPr lang="en-IN" sz="1400" b="1">
            <a:solidFill>
              <a:schemeClr val="tx1"/>
            </a:solidFill>
          </a:endParaRPr>
        </a:p>
      </xdr:txBody>
    </xdr:sp>
    <xdr:clientData/>
  </xdr:twoCellAnchor>
  <xdr:twoCellAnchor>
    <xdr:from>
      <xdr:col>7</xdr:col>
      <xdr:colOff>457648</xdr:colOff>
      <xdr:row>15</xdr:row>
      <xdr:rowOff>170329</xdr:rowOff>
    </xdr:from>
    <xdr:to>
      <xdr:col>17</xdr:col>
      <xdr:colOff>304800</xdr:colOff>
      <xdr:row>18</xdr:row>
      <xdr:rowOff>125507</xdr:rowOff>
    </xdr:to>
    <xdr:sp macro="" textlink="">
      <xdr:nvSpPr>
        <xdr:cNvPr id="60" name="Rectangle: Rounded Corners 59">
          <a:extLst>
            <a:ext uri="{FF2B5EF4-FFF2-40B4-BE49-F238E27FC236}">
              <a16:creationId xmlns:a16="http://schemas.microsoft.com/office/drawing/2014/main" id="{B803CECB-D596-4750-83A6-1BF9E9C04B5D}"/>
            </a:ext>
          </a:extLst>
        </xdr:cNvPr>
        <xdr:cNvSpPr/>
      </xdr:nvSpPr>
      <xdr:spPr>
        <a:xfrm>
          <a:off x="4724848" y="2859741"/>
          <a:ext cx="5943152" cy="49306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bg1"/>
            </a:solidFill>
          </a:endParaRPr>
        </a:p>
      </xdr:txBody>
    </xdr:sp>
    <xdr:clientData/>
  </xdr:twoCellAnchor>
  <xdr:twoCellAnchor>
    <xdr:from>
      <xdr:col>9</xdr:col>
      <xdr:colOff>331695</xdr:colOff>
      <xdr:row>16</xdr:row>
      <xdr:rowOff>44823</xdr:rowOff>
    </xdr:from>
    <xdr:to>
      <xdr:col>16</xdr:col>
      <xdr:colOff>188259</xdr:colOff>
      <xdr:row>18</xdr:row>
      <xdr:rowOff>35859</xdr:rowOff>
    </xdr:to>
    <xdr:sp macro="" textlink="">
      <xdr:nvSpPr>
        <xdr:cNvPr id="61" name="Rectangle: Rounded Corners 60">
          <a:extLst>
            <a:ext uri="{FF2B5EF4-FFF2-40B4-BE49-F238E27FC236}">
              <a16:creationId xmlns:a16="http://schemas.microsoft.com/office/drawing/2014/main" id="{08221CDB-B26A-351A-BBAC-B9C7C84DD044}"/>
            </a:ext>
          </a:extLst>
        </xdr:cNvPr>
        <xdr:cNvSpPr/>
      </xdr:nvSpPr>
      <xdr:spPr>
        <a:xfrm>
          <a:off x="5818095" y="2913529"/>
          <a:ext cx="4123764" cy="3496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Key Insights :</a:t>
          </a:r>
        </a:p>
      </xdr:txBody>
    </xdr:sp>
    <xdr:clientData/>
  </xdr:twoCellAnchor>
  <xdr:twoCellAnchor>
    <xdr:from>
      <xdr:col>4</xdr:col>
      <xdr:colOff>170773</xdr:colOff>
      <xdr:row>28</xdr:row>
      <xdr:rowOff>35857</xdr:rowOff>
    </xdr:from>
    <xdr:to>
      <xdr:col>24</xdr:col>
      <xdr:colOff>519952</xdr:colOff>
      <xdr:row>39</xdr:row>
      <xdr:rowOff>89646</xdr:rowOff>
    </xdr:to>
    <xdr:sp macro="" textlink="">
      <xdr:nvSpPr>
        <xdr:cNvPr id="62" name="Rectangle: Rounded Corners 61">
          <a:extLst>
            <a:ext uri="{FF2B5EF4-FFF2-40B4-BE49-F238E27FC236}">
              <a16:creationId xmlns:a16="http://schemas.microsoft.com/office/drawing/2014/main" id="{660E439E-887A-32D3-79FD-341287E625B8}"/>
            </a:ext>
          </a:extLst>
        </xdr:cNvPr>
        <xdr:cNvSpPr/>
      </xdr:nvSpPr>
      <xdr:spPr>
        <a:xfrm>
          <a:off x="2609173" y="5056092"/>
          <a:ext cx="12541179" cy="2026025"/>
        </a:xfrm>
        <a:prstGeom prst="roundRect">
          <a:avLst>
            <a:gd name="adj" fmla="val 5389"/>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en-IN" sz="1200">
            <a:solidFill>
              <a:schemeClr val="tx1"/>
            </a:solidFill>
            <a:latin typeface="+mn-lt"/>
            <a:ea typeface="+mn-ea"/>
            <a:cs typeface="+mn-cs"/>
          </a:endParaRPr>
        </a:p>
      </xdr:txBody>
    </xdr:sp>
    <xdr:clientData/>
  </xdr:twoCellAnchor>
  <xdr:twoCellAnchor>
    <xdr:from>
      <xdr:col>4</xdr:col>
      <xdr:colOff>367553</xdr:colOff>
      <xdr:row>30</xdr:row>
      <xdr:rowOff>0</xdr:rowOff>
    </xdr:from>
    <xdr:to>
      <xdr:col>11</xdr:col>
      <xdr:colOff>62753</xdr:colOff>
      <xdr:row>32</xdr:row>
      <xdr:rowOff>107577</xdr:rowOff>
    </xdr:to>
    <xdr:sp macro="" textlink="">
      <xdr:nvSpPr>
        <xdr:cNvPr id="63" name="Rectangle: Rounded Corners 62">
          <a:extLst>
            <a:ext uri="{FF2B5EF4-FFF2-40B4-BE49-F238E27FC236}">
              <a16:creationId xmlns:a16="http://schemas.microsoft.com/office/drawing/2014/main" id="{EA3C7816-E28B-FD99-68A2-CEEABDBF217B}"/>
            </a:ext>
          </a:extLst>
        </xdr:cNvPr>
        <xdr:cNvSpPr/>
      </xdr:nvSpPr>
      <xdr:spPr>
        <a:xfrm>
          <a:off x="2805953" y="5378824"/>
          <a:ext cx="3962400" cy="4661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  Departments Covered :</a:t>
          </a:r>
        </a:p>
      </xdr:txBody>
    </xdr:sp>
    <xdr:clientData/>
  </xdr:twoCellAnchor>
  <xdr:twoCellAnchor>
    <xdr:from>
      <xdr:col>4</xdr:col>
      <xdr:colOff>439271</xdr:colOff>
      <xdr:row>32</xdr:row>
      <xdr:rowOff>62753</xdr:rowOff>
    </xdr:from>
    <xdr:to>
      <xdr:col>7</xdr:col>
      <xdr:colOff>475129</xdr:colOff>
      <xdr:row>38</xdr:row>
      <xdr:rowOff>8965</xdr:rowOff>
    </xdr:to>
    <xdr:sp macro="" textlink="">
      <xdr:nvSpPr>
        <xdr:cNvPr id="85" name="Rectangle: Rounded Corners 84">
          <a:extLst>
            <a:ext uri="{FF2B5EF4-FFF2-40B4-BE49-F238E27FC236}">
              <a16:creationId xmlns:a16="http://schemas.microsoft.com/office/drawing/2014/main" id="{3E74BF9E-4B7F-CC6C-91DB-E53D072E1DE8}"/>
            </a:ext>
          </a:extLst>
        </xdr:cNvPr>
        <xdr:cNvSpPr/>
      </xdr:nvSpPr>
      <xdr:spPr>
        <a:xfrm>
          <a:off x="2877671" y="5800165"/>
          <a:ext cx="1864658" cy="10219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400">
              <a:solidFill>
                <a:schemeClr val="tx1"/>
              </a:solidFill>
              <a:latin typeface="+mn-lt"/>
              <a:ea typeface="+mn-ea"/>
              <a:cs typeface="+mn-cs"/>
            </a:rPr>
            <a:t>IT Department</a:t>
          </a:r>
        </a:p>
        <a:p>
          <a:pPr algn="r"/>
          <a:endParaRPr lang="en-IN" sz="1400">
            <a:solidFill>
              <a:schemeClr val="tx1"/>
            </a:solidFill>
            <a:latin typeface="+mn-lt"/>
            <a:ea typeface="+mn-ea"/>
            <a:cs typeface="+mn-cs"/>
          </a:endParaRPr>
        </a:p>
      </xdr:txBody>
    </xdr:sp>
    <xdr:clientData/>
  </xdr:twoCellAnchor>
  <xdr:twoCellAnchor editAs="oneCell">
    <xdr:from>
      <xdr:col>4</xdr:col>
      <xdr:colOff>537881</xdr:colOff>
      <xdr:row>34</xdr:row>
      <xdr:rowOff>17929</xdr:rowOff>
    </xdr:from>
    <xdr:to>
      <xdr:col>5</xdr:col>
      <xdr:colOff>421340</xdr:colOff>
      <xdr:row>36</xdr:row>
      <xdr:rowOff>152400</xdr:rowOff>
    </xdr:to>
    <xdr:pic>
      <xdr:nvPicPr>
        <xdr:cNvPr id="87" name="Graphic 86" descr="Programmer">
          <a:extLst>
            <a:ext uri="{FF2B5EF4-FFF2-40B4-BE49-F238E27FC236}">
              <a16:creationId xmlns:a16="http://schemas.microsoft.com/office/drawing/2014/main" id="{1F2598CB-848C-DA49-E4A6-8A30BA7BE40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976281" y="6113929"/>
          <a:ext cx="493059" cy="493059"/>
        </a:xfrm>
        <a:prstGeom prst="rect">
          <a:avLst/>
        </a:prstGeom>
      </xdr:spPr>
    </xdr:pic>
    <xdr:clientData/>
  </xdr:twoCellAnchor>
  <xdr:twoCellAnchor>
    <xdr:from>
      <xdr:col>8</xdr:col>
      <xdr:colOff>53789</xdr:colOff>
      <xdr:row>32</xdr:row>
      <xdr:rowOff>89647</xdr:rowOff>
    </xdr:from>
    <xdr:to>
      <xdr:col>11</xdr:col>
      <xdr:colOff>89647</xdr:colOff>
      <xdr:row>38</xdr:row>
      <xdr:rowOff>8965</xdr:rowOff>
    </xdr:to>
    <xdr:sp macro="" textlink="">
      <xdr:nvSpPr>
        <xdr:cNvPr id="94" name="Rectangle: Rounded Corners 93">
          <a:extLst>
            <a:ext uri="{FF2B5EF4-FFF2-40B4-BE49-F238E27FC236}">
              <a16:creationId xmlns:a16="http://schemas.microsoft.com/office/drawing/2014/main" id="{4FC6AE8C-9264-B938-8F31-394C24C490E3}"/>
            </a:ext>
          </a:extLst>
        </xdr:cNvPr>
        <xdr:cNvSpPr/>
      </xdr:nvSpPr>
      <xdr:spPr>
        <a:xfrm>
          <a:off x="4930589" y="5827059"/>
          <a:ext cx="1864658" cy="9950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400">
              <a:solidFill>
                <a:schemeClr val="tx1"/>
              </a:solidFill>
              <a:latin typeface="+mn-lt"/>
              <a:ea typeface="+mn-ea"/>
              <a:cs typeface="+mn-cs"/>
            </a:rPr>
            <a:t>Sales</a:t>
          </a:r>
          <a:r>
            <a:rPr lang="en-IN" sz="1400" baseline="0">
              <a:solidFill>
                <a:schemeClr val="tx1"/>
              </a:solidFill>
              <a:latin typeface="+mn-lt"/>
              <a:ea typeface="+mn-ea"/>
              <a:cs typeface="+mn-cs"/>
            </a:rPr>
            <a:t> Department</a:t>
          </a:r>
          <a:endParaRPr lang="en-IN" sz="1400">
            <a:solidFill>
              <a:schemeClr val="tx1"/>
            </a:solidFill>
            <a:latin typeface="+mn-lt"/>
            <a:ea typeface="+mn-ea"/>
            <a:cs typeface="+mn-cs"/>
          </a:endParaRPr>
        </a:p>
        <a:p>
          <a:pPr algn="r"/>
          <a:endParaRPr lang="en-IN" sz="1400">
            <a:solidFill>
              <a:schemeClr val="tx1"/>
            </a:solidFill>
            <a:latin typeface="+mn-lt"/>
            <a:ea typeface="+mn-ea"/>
            <a:cs typeface="+mn-cs"/>
          </a:endParaRPr>
        </a:p>
      </xdr:txBody>
    </xdr:sp>
    <xdr:clientData/>
  </xdr:twoCellAnchor>
  <xdr:twoCellAnchor>
    <xdr:from>
      <xdr:col>11</xdr:col>
      <xdr:colOff>268941</xdr:colOff>
      <xdr:row>32</xdr:row>
      <xdr:rowOff>116540</xdr:rowOff>
    </xdr:from>
    <xdr:to>
      <xdr:col>14</xdr:col>
      <xdr:colOff>304799</xdr:colOff>
      <xdr:row>38</xdr:row>
      <xdr:rowOff>17929</xdr:rowOff>
    </xdr:to>
    <xdr:sp macro="" textlink="">
      <xdr:nvSpPr>
        <xdr:cNvPr id="99" name="Rectangle: Rounded Corners 98">
          <a:extLst>
            <a:ext uri="{FF2B5EF4-FFF2-40B4-BE49-F238E27FC236}">
              <a16:creationId xmlns:a16="http://schemas.microsoft.com/office/drawing/2014/main" id="{776DEE75-1100-E586-C248-FB9E67F43C4A}"/>
            </a:ext>
          </a:extLst>
        </xdr:cNvPr>
        <xdr:cNvSpPr/>
      </xdr:nvSpPr>
      <xdr:spPr>
        <a:xfrm>
          <a:off x="6974541" y="5853952"/>
          <a:ext cx="1864658" cy="9771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400">
              <a:solidFill>
                <a:schemeClr val="tx1"/>
              </a:solidFill>
              <a:latin typeface="+mn-lt"/>
              <a:ea typeface="+mn-ea"/>
              <a:cs typeface="+mn-cs"/>
            </a:rPr>
            <a:t>HR Department</a:t>
          </a:r>
        </a:p>
        <a:p>
          <a:pPr algn="r"/>
          <a:endParaRPr lang="en-IN" sz="1400">
            <a:solidFill>
              <a:schemeClr val="tx1"/>
            </a:solidFill>
            <a:latin typeface="+mn-lt"/>
            <a:ea typeface="+mn-ea"/>
            <a:cs typeface="+mn-cs"/>
          </a:endParaRPr>
        </a:p>
      </xdr:txBody>
    </xdr:sp>
    <xdr:clientData/>
  </xdr:twoCellAnchor>
  <xdr:twoCellAnchor>
    <xdr:from>
      <xdr:col>14</xdr:col>
      <xdr:colOff>484094</xdr:colOff>
      <xdr:row>32</xdr:row>
      <xdr:rowOff>125505</xdr:rowOff>
    </xdr:from>
    <xdr:to>
      <xdr:col>17</xdr:col>
      <xdr:colOff>519952</xdr:colOff>
      <xdr:row>38</xdr:row>
      <xdr:rowOff>35858</xdr:rowOff>
    </xdr:to>
    <xdr:sp macro="" textlink="">
      <xdr:nvSpPr>
        <xdr:cNvPr id="100" name="Rectangle: Rounded Corners 99">
          <a:extLst>
            <a:ext uri="{FF2B5EF4-FFF2-40B4-BE49-F238E27FC236}">
              <a16:creationId xmlns:a16="http://schemas.microsoft.com/office/drawing/2014/main" id="{51061F7D-7A52-3EEB-10B7-264C71FCEBC5}"/>
            </a:ext>
          </a:extLst>
        </xdr:cNvPr>
        <xdr:cNvSpPr/>
      </xdr:nvSpPr>
      <xdr:spPr>
        <a:xfrm>
          <a:off x="9018494" y="5862917"/>
          <a:ext cx="1864658" cy="9861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400">
              <a:solidFill>
                <a:schemeClr val="tx1"/>
              </a:solidFill>
              <a:latin typeface="+mn-lt"/>
              <a:ea typeface="+mn-ea"/>
              <a:cs typeface="+mn-cs"/>
            </a:rPr>
            <a:t>Finance Dept </a:t>
          </a:r>
        </a:p>
        <a:p>
          <a:pPr algn="r"/>
          <a:endParaRPr lang="en-IN" sz="1400">
            <a:solidFill>
              <a:schemeClr val="tx1"/>
            </a:solidFill>
            <a:latin typeface="+mn-lt"/>
            <a:ea typeface="+mn-ea"/>
            <a:cs typeface="+mn-cs"/>
          </a:endParaRPr>
        </a:p>
      </xdr:txBody>
    </xdr:sp>
    <xdr:clientData/>
  </xdr:twoCellAnchor>
  <xdr:twoCellAnchor>
    <xdr:from>
      <xdr:col>18</xdr:col>
      <xdr:colOff>152399</xdr:colOff>
      <xdr:row>32</xdr:row>
      <xdr:rowOff>152399</xdr:rowOff>
    </xdr:from>
    <xdr:to>
      <xdr:col>21</xdr:col>
      <xdr:colOff>89647</xdr:colOff>
      <xdr:row>38</xdr:row>
      <xdr:rowOff>35858</xdr:rowOff>
    </xdr:to>
    <xdr:sp macro="" textlink="">
      <xdr:nvSpPr>
        <xdr:cNvPr id="101" name="Rectangle: Rounded Corners 100">
          <a:extLst>
            <a:ext uri="{FF2B5EF4-FFF2-40B4-BE49-F238E27FC236}">
              <a16:creationId xmlns:a16="http://schemas.microsoft.com/office/drawing/2014/main" id="{E7531030-A383-EC10-E952-D8CB219630DF}"/>
            </a:ext>
          </a:extLst>
        </xdr:cNvPr>
        <xdr:cNvSpPr/>
      </xdr:nvSpPr>
      <xdr:spPr>
        <a:xfrm>
          <a:off x="11125199" y="5889811"/>
          <a:ext cx="1766048" cy="9592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400">
              <a:solidFill>
                <a:schemeClr val="tx1"/>
              </a:solidFill>
              <a:latin typeface="+mn-lt"/>
              <a:ea typeface="+mn-ea"/>
              <a:cs typeface="+mn-cs"/>
            </a:rPr>
            <a:t>Marketing Department</a:t>
          </a:r>
        </a:p>
        <a:p>
          <a:pPr algn="r"/>
          <a:endParaRPr lang="en-IN" sz="1400">
            <a:solidFill>
              <a:schemeClr val="tx1"/>
            </a:solidFill>
            <a:latin typeface="+mn-lt"/>
            <a:ea typeface="+mn-ea"/>
            <a:cs typeface="+mn-cs"/>
          </a:endParaRPr>
        </a:p>
      </xdr:txBody>
    </xdr:sp>
    <xdr:clientData/>
  </xdr:twoCellAnchor>
  <xdr:twoCellAnchor>
    <xdr:from>
      <xdr:col>21</xdr:col>
      <xdr:colOff>268939</xdr:colOff>
      <xdr:row>32</xdr:row>
      <xdr:rowOff>152401</xdr:rowOff>
    </xdr:from>
    <xdr:to>
      <xdr:col>24</xdr:col>
      <xdr:colOff>206187</xdr:colOff>
      <xdr:row>38</xdr:row>
      <xdr:rowOff>26895</xdr:rowOff>
    </xdr:to>
    <xdr:sp macro="" textlink="">
      <xdr:nvSpPr>
        <xdr:cNvPr id="102" name="Rectangle: Rounded Corners 101">
          <a:extLst>
            <a:ext uri="{FF2B5EF4-FFF2-40B4-BE49-F238E27FC236}">
              <a16:creationId xmlns:a16="http://schemas.microsoft.com/office/drawing/2014/main" id="{ED76B304-B11A-A34F-9F87-F07450A763B8}"/>
            </a:ext>
          </a:extLst>
        </xdr:cNvPr>
        <xdr:cNvSpPr/>
      </xdr:nvSpPr>
      <xdr:spPr>
        <a:xfrm>
          <a:off x="13070539" y="5889813"/>
          <a:ext cx="1766048" cy="95025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400">
              <a:solidFill>
                <a:schemeClr val="tx1"/>
              </a:solidFill>
              <a:latin typeface="+mn-lt"/>
              <a:ea typeface="+mn-ea"/>
              <a:cs typeface="+mn-cs"/>
            </a:rPr>
            <a:t>Operations Department</a:t>
          </a:r>
        </a:p>
        <a:p>
          <a:pPr algn="r"/>
          <a:endParaRPr lang="en-IN" sz="1400">
            <a:solidFill>
              <a:schemeClr val="tx1"/>
            </a:solidFill>
            <a:latin typeface="+mn-lt"/>
            <a:ea typeface="+mn-ea"/>
            <a:cs typeface="+mn-cs"/>
          </a:endParaRPr>
        </a:p>
      </xdr:txBody>
    </xdr:sp>
    <xdr:clientData/>
  </xdr:twoCellAnchor>
  <xdr:twoCellAnchor editAs="oneCell">
    <xdr:from>
      <xdr:col>8</xdr:col>
      <xdr:colOff>62753</xdr:colOff>
      <xdr:row>34</xdr:row>
      <xdr:rowOff>107577</xdr:rowOff>
    </xdr:from>
    <xdr:to>
      <xdr:col>8</xdr:col>
      <xdr:colOff>475130</xdr:colOff>
      <xdr:row>36</xdr:row>
      <xdr:rowOff>161366</xdr:rowOff>
    </xdr:to>
    <xdr:pic>
      <xdr:nvPicPr>
        <xdr:cNvPr id="104" name="Graphic 103" descr="Bar graph with upward trend">
          <a:extLst>
            <a:ext uri="{FF2B5EF4-FFF2-40B4-BE49-F238E27FC236}">
              <a16:creationId xmlns:a16="http://schemas.microsoft.com/office/drawing/2014/main" id="{ED6F87AE-482D-6FD5-91B2-A5D8D6AE479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939553" y="6203577"/>
          <a:ext cx="412377" cy="412377"/>
        </a:xfrm>
        <a:prstGeom prst="rect">
          <a:avLst/>
        </a:prstGeom>
      </xdr:spPr>
    </xdr:pic>
    <xdr:clientData/>
  </xdr:twoCellAnchor>
  <xdr:twoCellAnchor editAs="oneCell">
    <xdr:from>
      <xdr:col>11</xdr:col>
      <xdr:colOff>322730</xdr:colOff>
      <xdr:row>34</xdr:row>
      <xdr:rowOff>35859</xdr:rowOff>
    </xdr:from>
    <xdr:to>
      <xdr:col>12</xdr:col>
      <xdr:colOff>215153</xdr:colOff>
      <xdr:row>37</xdr:row>
      <xdr:rowOff>0</xdr:rowOff>
    </xdr:to>
    <xdr:pic>
      <xdr:nvPicPr>
        <xdr:cNvPr id="106" name="Graphic 105" descr="User">
          <a:extLst>
            <a:ext uri="{FF2B5EF4-FFF2-40B4-BE49-F238E27FC236}">
              <a16:creationId xmlns:a16="http://schemas.microsoft.com/office/drawing/2014/main" id="{456FCC04-4260-474B-0327-A3C39E858E1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028330" y="6131859"/>
          <a:ext cx="502023" cy="502023"/>
        </a:xfrm>
        <a:prstGeom prst="rect">
          <a:avLst/>
        </a:prstGeom>
      </xdr:spPr>
    </xdr:pic>
    <xdr:clientData/>
  </xdr:twoCellAnchor>
  <xdr:twoCellAnchor editAs="oneCell">
    <xdr:from>
      <xdr:col>15</xdr:col>
      <xdr:colOff>188259</xdr:colOff>
      <xdr:row>34</xdr:row>
      <xdr:rowOff>134470</xdr:rowOff>
    </xdr:from>
    <xdr:to>
      <xdr:col>16</xdr:col>
      <xdr:colOff>26894</xdr:colOff>
      <xdr:row>37</xdr:row>
      <xdr:rowOff>44823</xdr:rowOff>
    </xdr:to>
    <xdr:pic>
      <xdr:nvPicPr>
        <xdr:cNvPr id="108" name="Graphic 107" descr="Rupee">
          <a:extLst>
            <a:ext uri="{FF2B5EF4-FFF2-40B4-BE49-F238E27FC236}">
              <a16:creationId xmlns:a16="http://schemas.microsoft.com/office/drawing/2014/main" id="{B7E32A5E-C301-3001-959E-956FFAB687C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9332259" y="6230470"/>
          <a:ext cx="448235" cy="448235"/>
        </a:xfrm>
        <a:prstGeom prst="rect">
          <a:avLst/>
        </a:prstGeom>
      </xdr:spPr>
    </xdr:pic>
    <xdr:clientData/>
  </xdr:twoCellAnchor>
  <xdr:twoCellAnchor editAs="oneCell">
    <xdr:from>
      <xdr:col>18</xdr:col>
      <xdr:colOff>251011</xdr:colOff>
      <xdr:row>33</xdr:row>
      <xdr:rowOff>71718</xdr:rowOff>
    </xdr:from>
    <xdr:to>
      <xdr:col>19</xdr:col>
      <xdr:colOff>385482</xdr:colOff>
      <xdr:row>37</xdr:row>
      <xdr:rowOff>98613</xdr:rowOff>
    </xdr:to>
    <xdr:pic>
      <xdr:nvPicPr>
        <xdr:cNvPr id="110" name="Graphic 109" descr="Marketing">
          <a:extLst>
            <a:ext uri="{FF2B5EF4-FFF2-40B4-BE49-F238E27FC236}">
              <a16:creationId xmlns:a16="http://schemas.microsoft.com/office/drawing/2014/main" id="{247B52B9-FD9D-E6BB-D760-D8DD7A4B5E7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1223811" y="5988424"/>
          <a:ext cx="744071" cy="744071"/>
        </a:xfrm>
        <a:prstGeom prst="rect">
          <a:avLst/>
        </a:prstGeom>
      </xdr:spPr>
    </xdr:pic>
    <xdr:clientData/>
  </xdr:twoCellAnchor>
  <xdr:twoCellAnchor editAs="oneCell">
    <xdr:from>
      <xdr:col>21</xdr:col>
      <xdr:colOff>392047</xdr:colOff>
      <xdr:row>33</xdr:row>
      <xdr:rowOff>114141</xdr:rowOff>
    </xdr:from>
    <xdr:to>
      <xdr:col>22</xdr:col>
      <xdr:colOff>403412</xdr:colOff>
      <xdr:row>37</xdr:row>
      <xdr:rowOff>17930</xdr:rowOff>
    </xdr:to>
    <xdr:pic>
      <xdr:nvPicPr>
        <xdr:cNvPr id="112" name="Graphic 111" descr="Gears">
          <a:extLst>
            <a:ext uri="{FF2B5EF4-FFF2-40B4-BE49-F238E27FC236}">
              <a16:creationId xmlns:a16="http://schemas.microsoft.com/office/drawing/2014/main" id="{E07E8099-9DF5-2EE9-3053-45A64E3DDC90}"/>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193647" y="6030847"/>
          <a:ext cx="620965" cy="6209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556260</xdr:colOff>
      <xdr:row>0</xdr:row>
      <xdr:rowOff>106680</xdr:rowOff>
    </xdr:from>
    <xdr:to>
      <xdr:col>24</xdr:col>
      <xdr:colOff>251460</xdr:colOff>
      <xdr:row>36</xdr:row>
      <xdr:rowOff>129540</xdr:rowOff>
    </xdr:to>
    <xdr:sp macro="" textlink="">
      <xdr:nvSpPr>
        <xdr:cNvPr id="3" name="Rectangle 2">
          <a:extLst>
            <a:ext uri="{FF2B5EF4-FFF2-40B4-BE49-F238E27FC236}">
              <a16:creationId xmlns:a16="http://schemas.microsoft.com/office/drawing/2014/main" id="{5E3EB9DA-49C8-B289-5B12-E813C2DFA2C9}"/>
            </a:ext>
          </a:extLst>
        </xdr:cNvPr>
        <xdr:cNvSpPr/>
      </xdr:nvSpPr>
      <xdr:spPr>
        <a:xfrm>
          <a:off x="556260" y="106680"/>
          <a:ext cx="14325600" cy="660654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b="1">
            <a:solidFill>
              <a:schemeClr val="accent1"/>
            </a:solidFill>
            <a:latin typeface="+mn-lt"/>
            <a:ea typeface="+mn-ea"/>
            <a:cs typeface="+mn-cs"/>
          </a:endParaRPr>
        </a:p>
      </xdr:txBody>
    </xdr:sp>
    <xdr:clientData/>
  </xdr:twoCellAnchor>
  <xdr:twoCellAnchor>
    <xdr:from>
      <xdr:col>0</xdr:col>
      <xdr:colOff>582705</xdr:colOff>
      <xdr:row>0</xdr:row>
      <xdr:rowOff>134471</xdr:rowOff>
    </xdr:from>
    <xdr:to>
      <xdr:col>24</xdr:col>
      <xdr:colOff>242046</xdr:colOff>
      <xdr:row>4</xdr:row>
      <xdr:rowOff>137160</xdr:rowOff>
    </xdr:to>
    <xdr:sp macro="" textlink="">
      <xdr:nvSpPr>
        <xdr:cNvPr id="4" name="Rectangle: Rounded Corners 3">
          <a:extLst>
            <a:ext uri="{FF2B5EF4-FFF2-40B4-BE49-F238E27FC236}">
              <a16:creationId xmlns:a16="http://schemas.microsoft.com/office/drawing/2014/main" id="{E5EBC331-A715-6141-0D67-4ED6CDEE2122}"/>
            </a:ext>
          </a:extLst>
        </xdr:cNvPr>
        <xdr:cNvSpPr/>
      </xdr:nvSpPr>
      <xdr:spPr>
        <a:xfrm>
          <a:off x="582705" y="134471"/>
          <a:ext cx="14289741" cy="719865"/>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564776</xdr:colOff>
      <xdr:row>4</xdr:row>
      <xdr:rowOff>152400</xdr:rowOff>
    </xdr:from>
    <xdr:to>
      <xdr:col>3</xdr:col>
      <xdr:colOff>487680</xdr:colOff>
      <xdr:row>36</xdr:row>
      <xdr:rowOff>116541</xdr:rowOff>
    </xdr:to>
    <xdr:sp macro="" textlink="">
      <xdr:nvSpPr>
        <xdr:cNvPr id="6" name="Rectangle: Rounded Corners 5">
          <a:extLst>
            <a:ext uri="{FF2B5EF4-FFF2-40B4-BE49-F238E27FC236}">
              <a16:creationId xmlns:a16="http://schemas.microsoft.com/office/drawing/2014/main" id="{DDD20C93-39EE-A4CB-31CC-C4DCE53A9EF1}"/>
            </a:ext>
          </a:extLst>
        </xdr:cNvPr>
        <xdr:cNvSpPr/>
      </xdr:nvSpPr>
      <xdr:spPr>
        <a:xfrm>
          <a:off x="564776" y="869576"/>
          <a:ext cx="1751704" cy="5701553"/>
        </a:xfrm>
        <a:prstGeom prst="roundRect">
          <a:avLst>
            <a:gd name="adj" fmla="val 20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xdr:row>
      <xdr:rowOff>144780</xdr:rowOff>
    </xdr:from>
    <xdr:to>
      <xdr:col>16</xdr:col>
      <xdr:colOff>160020</xdr:colOff>
      <xdr:row>4</xdr:row>
      <xdr:rowOff>38100</xdr:rowOff>
    </xdr:to>
    <xdr:sp macro="" textlink="">
      <xdr:nvSpPr>
        <xdr:cNvPr id="7" name="Rectangle: Rounded Corners 6">
          <a:extLst>
            <a:ext uri="{FF2B5EF4-FFF2-40B4-BE49-F238E27FC236}">
              <a16:creationId xmlns:a16="http://schemas.microsoft.com/office/drawing/2014/main" id="{F4069DC2-9062-D26E-A125-D7531DE313C2}"/>
            </a:ext>
          </a:extLst>
        </xdr:cNvPr>
        <xdr:cNvSpPr/>
      </xdr:nvSpPr>
      <xdr:spPr>
        <a:xfrm>
          <a:off x="3543300" y="327660"/>
          <a:ext cx="6370320" cy="441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mn-lt"/>
            </a:rPr>
            <a:t>HR ANALYTICS DASHBOARD</a:t>
          </a:r>
        </a:p>
      </xdr:txBody>
    </xdr:sp>
    <xdr:clientData/>
  </xdr:twoCellAnchor>
  <xdr:twoCellAnchor>
    <xdr:from>
      <xdr:col>1</xdr:col>
      <xdr:colOff>137160</xdr:colOff>
      <xdr:row>1</xdr:row>
      <xdr:rowOff>53340</xdr:rowOff>
    </xdr:from>
    <xdr:to>
      <xdr:col>4</xdr:col>
      <xdr:colOff>83820</xdr:colOff>
      <xdr:row>4</xdr:row>
      <xdr:rowOff>83820</xdr:rowOff>
    </xdr:to>
    <xdr:sp macro="" textlink="">
      <xdr:nvSpPr>
        <xdr:cNvPr id="8" name="Rectangle: Rounded Corners 7">
          <a:extLst>
            <a:ext uri="{FF2B5EF4-FFF2-40B4-BE49-F238E27FC236}">
              <a16:creationId xmlns:a16="http://schemas.microsoft.com/office/drawing/2014/main" id="{49E51F4C-53E2-1115-9F67-C2E9AFBBDB1A}"/>
            </a:ext>
          </a:extLst>
        </xdr:cNvPr>
        <xdr:cNvSpPr/>
      </xdr:nvSpPr>
      <xdr:spPr>
        <a:xfrm>
          <a:off x="746760" y="236220"/>
          <a:ext cx="1775460" cy="579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200" b="1"/>
            <a:t>ABC  </a:t>
          </a:r>
        </a:p>
        <a:p>
          <a:pPr algn="l"/>
          <a:r>
            <a:rPr lang="en-IN" sz="1200"/>
            <a:t>                TECHNOLOGIES</a:t>
          </a:r>
        </a:p>
      </xdr:txBody>
    </xdr:sp>
    <xdr:clientData/>
  </xdr:twoCellAnchor>
  <xdr:twoCellAnchor editAs="oneCell">
    <xdr:from>
      <xdr:col>1</xdr:col>
      <xdr:colOff>137160</xdr:colOff>
      <xdr:row>1</xdr:row>
      <xdr:rowOff>45720</xdr:rowOff>
    </xdr:from>
    <xdr:to>
      <xdr:col>2</xdr:col>
      <xdr:colOff>152400</xdr:colOff>
      <xdr:row>4</xdr:row>
      <xdr:rowOff>121920</xdr:rowOff>
    </xdr:to>
    <xdr:pic>
      <xdr:nvPicPr>
        <xdr:cNvPr id="10" name="Graphic 9" descr="Users">
          <a:extLst>
            <a:ext uri="{FF2B5EF4-FFF2-40B4-BE49-F238E27FC236}">
              <a16:creationId xmlns:a16="http://schemas.microsoft.com/office/drawing/2014/main" id="{52847802-D5A9-CD23-1DFD-4D018AA58B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228600"/>
          <a:ext cx="624840" cy="624840"/>
        </a:xfrm>
        <a:prstGeom prst="rect">
          <a:avLst/>
        </a:prstGeom>
      </xdr:spPr>
    </xdr:pic>
    <xdr:clientData/>
  </xdr:twoCellAnchor>
  <xdr:twoCellAnchor>
    <xdr:from>
      <xdr:col>1</xdr:col>
      <xdr:colOff>121920</xdr:colOff>
      <xdr:row>6</xdr:row>
      <xdr:rowOff>22860</xdr:rowOff>
    </xdr:from>
    <xdr:to>
      <xdr:col>3</xdr:col>
      <xdr:colOff>335280</xdr:colOff>
      <xdr:row>8</xdr:row>
      <xdr:rowOff>121920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0BBE7BCC-53B4-D5BC-6F67-63F300CE38B6}"/>
            </a:ext>
          </a:extLst>
        </xdr:cNvPr>
        <xdr:cNvSpPr/>
      </xdr:nvSpPr>
      <xdr:spPr>
        <a:xfrm>
          <a:off x="731520" y="1120140"/>
          <a:ext cx="143256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Overview</a:t>
          </a:r>
        </a:p>
      </xdr:txBody>
    </xdr:sp>
    <xdr:clientData/>
  </xdr:twoCellAnchor>
  <xdr:twoCellAnchor>
    <xdr:from>
      <xdr:col>1</xdr:col>
      <xdr:colOff>106680</xdr:colOff>
      <xdr:row>9</xdr:row>
      <xdr:rowOff>30480</xdr:rowOff>
    </xdr:from>
    <xdr:to>
      <xdr:col>3</xdr:col>
      <xdr:colOff>312420</xdr:colOff>
      <xdr:row>11</xdr:row>
      <xdr:rowOff>160020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AF86FCCE-6430-3CD9-D907-2A94B8B9E5A8}"/>
            </a:ext>
          </a:extLst>
        </xdr:cNvPr>
        <xdr:cNvSpPr/>
      </xdr:nvSpPr>
      <xdr:spPr>
        <a:xfrm>
          <a:off x="716280" y="1676400"/>
          <a:ext cx="14249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Department</a:t>
          </a:r>
        </a:p>
      </xdr:txBody>
    </xdr:sp>
    <xdr:clientData/>
  </xdr:twoCellAnchor>
  <xdr:twoCellAnchor>
    <xdr:from>
      <xdr:col>1</xdr:col>
      <xdr:colOff>106680</xdr:colOff>
      <xdr:row>12</xdr:row>
      <xdr:rowOff>114300</xdr:rowOff>
    </xdr:from>
    <xdr:to>
      <xdr:col>3</xdr:col>
      <xdr:colOff>342900</xdr:colOff>
      <xdr:row>15</xdr:row>
      <xdr:rowOff>30480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78E0C38A-C179-002C-3FE5-8299A15DC022}"/>
            </a:ext>
          </a:extLst>
        </xdr:cNvPr>
        <xdr:cNvSpPr/>
      </xdr:nvSpPr>
      <xdr:spPr>
        <a:xfrm>
          <a:off x="716280" y="2308860"/>
          <a:ext cx="1455420" cy="464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t>
          </a:r>
          <a:r>
            <a:rPr lang="en-IN" sz="1200"/>
            <a:t>Salary</a:t>
          </a:r>
          <a:r>
            <a:rPr lang="en-IN" sz="1200" baseline="0"/>
            <a:t> Analysis</a:t>
          </a:r>
          <a:endParaRPr lang="en-IN" sz="1200"/>
        </a:p>
      </xdr:txBody>
    </xdr:sp>
    <xdr:clientData/>
  </xdr:twoCellAnchor>
  <xdr:twoCellAnchor>
    <xdr:from>
      <xdr:col>1</xdr:col>
      <xdr:colOff>129540</xdr:colOff>
      <xdr:row>15</xdr:row>
      <xdr:rowOff>144780</xdr:rowOff>
    </xdr:from>
    <xdr:to>
      <xdr:col>3</xdr:col>
      <xdr:colOff>396240</xdr:colOff>
      <xdr:row>18</xdr:row>
      <xdr:rowOff>137160</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AF7E3B62-2C97-2719-37C2-4D94324E049B}"/>
            </a:ext>
          </a:extLst>
        </xdr:cNvPr>
        <xdr:cNvSpPr/>
      </xdr:nvSpPr>
      <xdr:spPr>
        <a:xfrm>
          <a:off x="739140" y="2887980"/>
          <a:ext cx="148590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Employee Details</a:t>
          </a:r>
          <a:endParaRPr lang="en-IN" sz="1200"/>
        </a:p>
      </xdr:txBody>
    </xdr:sp>
    <xdr:clientData/>
  </xdr:twoCellAnchor>
  <xdr:twoCellAnchor>
    <xdr:from>
      <xdr:col>1</xdr:col>
      <xdr:colOff>121920</xdr:colOff>
      <xdr:row>19</xdr:row>
      <xdr:rowOff>45720</xdr:rowOff>
    </xdr:from>
    <xdr:to>
      <xdr:col>3</xdr:col>
      <xdr:colOff>350520</xdr:colOff>
      <xdr:row>21</xdr:row>
      <xdr:rowOff>175260</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A5687B05-63A2-B9A6-0872-60CAA6EB5545}"/>
            </a:ext>
          </a:extLst>
        </xdr:cNvPr>
        <xdr:cNvSpPr/>
      </xdr:nvSpPr>
      <xdr:spPr>
        <a:xfrm>
          <a:off x="731520" y="3520440"/>
          <a:ext cx="14478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 </a:t>
          </a:r>
          <a:r>
            <a:rPr lang="en-IN" sz="1200" baseline="0"/>
            <a:t> About</a:t>
          </a:r>
          <a:endParaRPr lang="en-IN" sz="1200"/>
        </a:p>
      </xdr:txBody>
    </xdr:sp>
    <xdr:clientData/>
  </xdr:twoCellAnchor>
  <xdr:twoCellAnchor editAs="oneCell">
    <xdr:from>
      <xdr:col>1</xdr:col>
      <xdr:colOff>205740</xdr:colOff>
      <xdr:row>6</xdr:row>
      <xdr:rowOff>30480</xdr:rowOff>
    </xdr:from>
    <xdr:to>
      <xdr:col>2</xdr:col>
      <xdr:colOff>22860</xdr:colOff>
      <xdr:row>8</xdr:row>
      <xdr:rowOff>91440</xdr:rowOff>
    </xdr:to>
    <xdr:pic>
      <xdr:nvPicPr>
        <xdr:cNvPr id="17" name="Graphic 16" descr="House">
          <a:extLst>
            <a:ext uri="{FF2B5EF4-FFF2-40B4-BE49-F238E27FC236}">
              <a16:creationId xmlns:a16="http://schemas.microsoft.com/office/drawing/2014/main" id="{26821AA1-0C99-8CA4-4AD6-8562E079D47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15340" y="1127760"/>
          <a:ext cx="426720" cy="426720"/>
        </a:xfrm>
        <a:prstGeom prst="rect">
          <a:avLst/>
        </a:prstGeom>
      </xdr:spPr>
    </xdr:pic>
    <xdr:clientData/>
  </xdr:twoCellAnchor>
  <xdr:twoCellAnchor editAs="oneCell">
    <xdr:from>
      <xdr:col>1</xdr:col>
      <xdr:colOff>137160</xdr:colOff>
      <xdr:row>9</xdr:row>
      <xdr:rowOff>91440</xdr:rowOff>
    </xdr:from>
    <xdr:to>
      <xdr:col>1</xdr:col>
      <xdr:colOff>533400</xdr:colOff>
      <xdr:row>11</xdr:row>
      <xdr:rowOff>121920</xdr:rowOff>
    </xdr:to>
    <xdr:pic>
      <xdr:nvPicPr>
        <xdr:cNvPr id="21" name="Graphic 20" descr="Users">
          <a:extLst>
            <a:ext uri="{FF2B5EF4-FFF2-40B4-BE49-F238E27FC236}">
              <a16:creationId xmlns:a16="http://schemas.microsoft.com/office/drawing/2014/main" id="{09D4A92E-67A3-85AC-161E-420F146FA6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1737360"/>
          <a:ext cx="396240" cy="396240"/>
        </a:xfrm>
        <a:prstGeom prst="rect">
          <a:avLst/>
        </a:prstGeom>
      </xdr:spPr>
    </xdr:pic>
    <xdr:clientData/>
  </xdr:twoCellAnchor>
  <xdr:twoCellAnchor editAs="oneCell">
    <xdr:from>
      <xdr:col>1</xdr:col>
      <xdr:colOff>129540</xdr:colOff>
      <xdr:row>12</xdr:row>
      <xdr:rowOff>167640</xdr:rowOff>
    </xdr:from>
    <xdr:to>
      <xdr:col>1</xdr:col>
      <xdr:colOff>525780</xdr:colOff>
      <xdr:row>15</xdr:row>
      <xdr:rowOff>15240</xdr:rowOff>
    </xdr:to>
    <xdr:pic>
      <xdr:nvPicPr>
        <xdr:cNvPr id="23" name="Graphic 22" descr="Rupee">
          <a:extLst>
            <a:ext uri="{FF2B5EF4-FFF2-40B4-BE49-F238E27FC236}">
              <a16:creationId xmlns:a16="http://schemas.microsoft.com/office/drawing/2014/main" id="{87685A90-19D7-9882-4871-FDDA7C811DA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9140" y="2362200"/>
          <a:ext cx="396240" cy="396240"/>
        </a:xfrm>
        <a:prstGeom prst="rect">
          <a:avLst/>
        </a:prstGeom>
      </xdr:spPr>
    </xdr:pic>
    <xdr:clientData/>
  </xdr:twoCellAnchor>
  <xdr:twoCellAnchor editAs="oneCell">
    <xdr:from>
      <xdr:col>1</xdr:col>
      <xdr:colOff>243840</xdr:colOff>
      <xdr:row>16</xdr:row>
      <xdr:rowOff>15240</xdr:rowOff>
    </xdr:from>
    <xdr:to>
      <xdr:col>2</xdr:col>
      <xdr:colOff>38100</xdr:colOff>
      <xdr:row>18</xdr:row>
      <xdr:rowOff>53340</xdr:rowOff>
    </xdr:to>
    <xdr:pic>
      <xdr:nvPicPr>
        <xdr:cNvPr id="25" name="Graphic 24" descr="Office worker">
          <a:extLst>
            <a:ext uri="{FF2B5EF4-FFF2-40B4-BE49-F238E27FC236}">
              <a16:creationId xmlns:a16="http://schemas.microsoft.com/office/drawing/2014/main" id="{E5E2B615-C244-041A-10F8-9E51B44AB07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3440" y="2941320"/>
          <a:ext cx="403860" cy="403860"/>
        </a:xfrm>
        <a:prstGeom prst="rect">
          <a:avLst/>
        </a:prstGeom>
      </xdr:spPr>
    </xdr:pic>
    <xdr:clientData/>
  </xdr:twoCellAnchor>
  <xdr:twoCellAnchor editAs="oneCell">
    <xdr:from>
      <xdr:col>1</xdr:col>
      <xdr:colOff>205740</xdr:colOff>
      <xdr:row>19</xdr:row>
      <xdr:rowOff>68580</xdr:rowOff>
    </xdr:from>
    <xdr:to>
      <xdr:col>2</xdr:col>
      <xdr:colOff>22860</xdr:colOff>
      <xdr:row>21</xdr:row>
      <xdr:rowOff>129540</xdr:rowOff>
    </xdr:to>
    <xdr:pic>
      <xdr:nvPicPr>
        <xdr:cNvPr id="27" name="Graphic 26" descr="Exclamation mark">
          <a:extLst>
            <a:ext uri="{FF2B5EF4-FFF2-40B4-BE49-F238E27FC236}">
              <a16:creationId xmlns:a16="http://schemas.microsoft.com/office/drawing/2014/main" id="{078C55A4-0F2E-4692-0AD3-93C084F2CC1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5340" y="3543300"/>
          <a:ext cx="426720" cy="426720"/>
        </a:xfrm>
        <a:prstGeom prst="rect">
          <a:avLst/>
        </a:prstGeom>
      </xdr:spPr>
    </xdr:pic>
    <xdr:clientData/>
  </xdr:twoCellAnchor>
  <xdr:twoCellAnchor>
    <xdr:from>
      <xdr:col>3</xdr:col>
      <xdr:colOff>556260</xdr:colOff>
      <xdr:row>5</xdr:row>
      <xdr:rowOff>76200</xdr:rowOff>
    </xdr:from>
    <xdr:to>
      <xdr:col>6</xdr:col>
      <xdr:colOff>281940</xdr:colOff>
      <xdr:row>9</xdr:row>
      <xdr:rowOff>99060</xdr:rowOff>
    </xdr:to>
    <xdr:sp macro="" textlink="">
      <xdr:nvSpPr>
        <xdr:cNvPr id="28" name="Rectangle: Rounded Corners 27">
          <a:extLst>
            <a:ext uri="{FF2B5EF4-FFF2-40B4-BE49-F238E27FC236}">
              <a16:creationId xmlns:a16="http://schemas.microsoft.com/office/drawing/2014/main" id="{FDFF2BD8-C630-D747-B27A-FE86D77376D8}"/>
            </a:ext>
          </a:extLst>
        </xdr:cNvPr>
        <xdr:cNvSpPr/>
      </xdr:nvSpPr>
      <xdr:spPr>
        <a:xfrm>
          <a:off x="2385060" y="990600"/>
          <a:ext cx="1554480" cy="754380"/>
        </a:xfrm>
        <a:prstGeom prst="roundRect">
          <a:avLst>
            <a:gd name="adj" fmla="val 1363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accent1"/>
              </a:solidFill>
              <a:latin typeface="+mn-lt"/>
              <a:ea typeface="+mn-ea"/>
              <a:cs typeface="+mn-cs"/>
            </a:rPr>
            <a:t>Total Employees</a:t>
          </a:r>
        </a:p>
      </xdr:txBody>
    </xdr:sp>
    <xdr:clientData/>
  </xdr:twoCellAnchor>
  <xdr:twoCellAnchor>
    <xdr:from>
      <xdr:col>6</xdr:col>
      <xdr:colOff>442408</xdr:colOff>
      <xdr:row>5</xdr:row>
      <xdr:rowOff>73510</xdr:rowOff>
    </xdr:from>
    <xdr:to>
      <xdr:col>9</xdr:col>
      <xdr:colOff>168088</xdr:colOff>
      <xdr:row>9</xdr:row>
      <xdr:rowOff>96370</xdr:rowOff>
    </xdr:to>
    <xdr:sp macro="" textlink="">
      <xdr:nvSpPr>
        <xdr:cNvPr id="31" name="Rectangle: Rounded Corners 30">
          <a:extLst>
            <a:ext uri="{FF2B5EF4-FFF2-40B4-BE49-F238E27FC236}">
              <a16:creationId xmlns:a16="http://schemas.microsoft.com/office/drawing/2014/main" id="{02A0AB70-E819-6E7D-0D34-9FAAB39125F6}"/>
            </a:ext>
          </a:extLst>
        </xdr:cNvPr>
        <xdr:cNvSpPr/>
      </xdr:nvSpPr>
      <xdr:spPr>
        <a:xfrm>
          <a:off x="4100008" y="969981"/>
          <a:ext cx="1554480" cy="740036"/>
        </a:xfrm>
        <a:prstGeom prst="roundRect">
          <a:avLst>
            <a:gd name="adj" fmla="val 1363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accent1"/>
              </a:solidFill>
              <a:latin typeface="+mn-lt"/>
              <a:ea typeface="+mn-ea"/>
              <a:cs typeface="+mn-cs"/>
            </a:rPr>
            <a:t>Male Employees</a:t>
          </a:r>
        </a:p>
      </xdr:txBody>
    </xdr:sp>
    <xdr:clientData/>
  </xdr:twoCellAnchor>
  <xdr:twoCellAnchor>
    <xdr:from>
      <xdr:col>9</xdr:col>
      <xdr:colOff>354105</xdr:colOff>
      <xdr:row>5</xdr:row>
      <xdr:rowOff>64547</xdr:rowOff>
    </xdr:from>
    <xdr:to>
      <xdr:col>12</xdr:col>
      <xdr:colOff>79785</xdr:colOff>
      <xdr:row>9</xdr:row>
      <xdr:rowOff>87407</xdr:rowOff>
    </xdr:to>
    <xdr:sp macro="" textlink="">
      <xdr:nvSpPr>
        <xdr:cNvPr id="46" name="Rectangle: Rounded Corners 45">
          <a:extLst>
            <a:ext uri="{FF2B5EF4-FFF2-40B4-BE49-F238E27FC236}">
              <a16:creationId xmlns:a16="http://schemas.microsoft.com/office/drawing/2014/main" id="{75020D27-E9C3-535F-8FD7-93687AA0F7C1}"/>
            </a:ext>
          </a:extLst>
        </xdr:cNvPr>
        <xdr:cNvSpPr/>
      </xdr:nvSpPr>
      <xdr:spPr>
        <a:xfrm>
          <a:off x="5840505" y="961018"/>
          <a:ext cx="1554480" cy="740036"/>
        </a:xfrm>
        <a:prstGeom prst="roundRect">
          <a:avLst>
            <a:gd name="adj" fmla="val 1363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rgbClr val="C00000"/>
              </a:solidFill>
              <a:latin typeface="+mn-lt"/>
              <a:ea typeface="+mn-ea"/>
              <a:cs typeface="+mn-cs"/>
            </a:rPr>
            <a:t>Female Employees</a:t>
          </a:r>
        </a:p>
        <a:p>
          <a:pPr marL="0" indent="0" algn="ctr"/>
          <a:endParaRPr lang="en-IN" sz="1100" b="1">
            <a:solidFill>
              <a:srgbClr val="C00000"/>
            </a:solidFill>
            <a:latin typeface="+mn-lt"/>
            <a:ea typeface="+mn-ea"/>
            <a:cs typeface="+mn-cs"/>
          </a:endParaRPr>
        </a:p>
      </xdr:txBody>
    </xdr:sp>
    <xdr:clientData/>
  </xdr:twoCellAnchor>
  <xdr:twoCellAnchor>
    <xdr:from>
      <xdr:col>12</xdr:col>
      <xdr:colOff>316902</xdr:colOff>
      <xdr:row>5</xdr:row>
      <xdr:rowOff>99059</xdr:rowOff>
    </xdr:from>
    <xdr:to>
      <xdr:col>15</xdr:col>
      <xdr:colOff>42582</xdr:colOff>
      <xdr:row>9</xdr:row>
      <xdr:rowOff>121919</xdr:rowOff>
    </xdr:to>
    <xdr:sp macro="" textlink="">
      <xdr:nvSpPr>
        <xdr:cNvPr id="47" name="Rectangle: Rounded Corners 46">
          <a:extLst>
            <a:ext uri="{FF2B5EF4-FFF2-40B4-BE49-F238E27FC236}">
              <a16:creationId xmlns:a16="http://schemas.microsoft.com/office/drawing/2014/main" id="{601BDCCE-6EBE-DBFC-E07B-31B3311AB35A}"/>
            </a:ext>
          </a:extLst>
        </xdr:cNvPr>
        <xdr:cNvSpPr/>
      </xdr:nvSpPr>
      <xdr:spPr>
        <a:xfrm>
          <a:off x="7632102" y="995530"/>
          <a:ext cx="1554480" cy="740036"/>
        </a:xfrm>
        <a:prstGeom prst="roundRect">
          <a:avLst>
            <a:gd name="adj" fmla="val 1363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accent3">
                  <a:lumMod val="75000"/>
                </a:schemeClr>
              </a:solidFill>
              <a:latin typeface="+mn-lt"/>
              <a:ea typeface="+mn-ea"/>
              <a:cs typeface="+mn-cs"/>
            </a:rPr>
            <a:t>Average Salary</a:t>
          </a:r>
        </a:p>
      </xdr:txBody>
    </xdr:sp>
    <xdr:clientData/>
  </xdr:twoCellAnchor>
  <xdr:twoCellAnchor>
    <xdr:from>
      <xdr:col>15</xdr:col>
      <xdr:colOff>274768</xdr:colOff>
      <xdr:row>5</xdr:row>
      <xdr:rowOff>88751</xdr:rowOff>
    </xdr:from>
    <xdr:to>
      <xdr:col>19</xdr:col>
      <xdr:colOff>71717</xdr:colOff>
      <xdr:row>9</xdr:row>
      <xdr:rowOff>111611</xdr:rowOff>
    </xdr:to>
    <xdr:sp macro="" textlink="">
      <xdr:nvSpPr>
        <xdr:cNvPr id="48" name="Rectangle: Rounded Corners 47">
          <a:extLst>
            <a:ext uri="{FF2B5EF4-FFF2-40B4-BE49-F238E27FC236}">
              <a16:creationId xmlns:a16="http://schemas.microsoft.com/office/drawing/2014/main" id="{6E09C54B-DA29-0A9E-6D05-AD6325F4C7F7}"/>
            </a:ext>
          </a:extLst>
        </xdr:cNvPr>
        <xdr:cNvSpPr/>
      </xdr:nvSpPr>
      <xdr:spPr>
        <a:xfrm>
          <a:off x="9418768" y="985222"/>
          <a:ext cx="2235349" cy="740036"/>
        </a:xfrm>
        <a:prstGeom prst="roundRect">
          <a:avLst>
            <a:gd name="adj" fmla="val 1363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rgbClr val="7030A0"/>
              </a:solidFill>
              <a:latin typeface="+mn-lt"/>
              <a:ea typeface="+mn-ea"/>
              <a:cs typeface="+mn-cs"/>
            </a:rPr>
            <a:t>           Average Experiance</a:t>
          </a:r>
        </a:p>
      </xdr:txBody>
    </xdr:sp>
    <xdr:clientData/>
  </xdr:twoCellAnchor>
  <xdr:twoCellAnchor>
    <xdr:from>
      <xdr:col>4</xdr:col>
      <xdr:colOff>525780</xdr:colOff>
      <xdr:row>7</xdr:row>
      <xdr:rowOff>15240</xdr:rowOff>
    </xdr:from>
    <xdr:to>
      <xdr:col>6</xdr:col>
      <xdr:colOff>68580</xdr:colOff>
      <xdr:row>8</xdr:row>
      <xdr:rowOff>106680</xdr:rowOff>
    </xdr:to>
    <xdr:sp macro="" textlink="'Pivot Tables'!B4">
      <xdr:nvSpPr>
        <xdr:cNvPr id="49" name="Rectangle: Rounded Corners 48">
          <a:extLst>
            <a:ext uri="{FF2B5EF4-FFF2-40B4-BE49-F238E27FC236}">
              <a16:creationId xmlns:a16="http://schemas.microsoft.com/office/drawing/2014/main" id="{3FBE7BF2-C364-0F72-23C8-752B687A8284}"/>
            </a:ext>
          </a:extLst>
        </xdr:cNvPr>
        <xdr:cNvSpPr/>
      </xdr:nvSpPr>
      <xdr:spPr>
        <a:xfrm>
          <a:off x="2964180" y="1295400"/>
          <a:ext cx="76200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734A7A-EB33-4483-9C52-EE9D14347629}" type="TxLink">
            <a:rPr lang="en-US" sz="1400" b="1" i="0" u="none" strike="noStrike">
              <a:solidFill>
                <a:schemeClr val="accent1"/>
              </a:solidFill>
              <a:latin typeface="Calibri"/>
              <a:ea typeface="Calibri"/>
              <a:cs typeface="Calibri"/>
            </a:rPr>
            <a:pPr algn="ctr"/>
            <a:t>500</a:t>
          </a:fld>
          <a:endParaRPr lang="en-IN" sz="1400" b="1">
            <a:solidFill>
              <a:schemeClr val="accent1"/>
            </a:solidFill>
          </a:endParaRPr>
        </a:p>
      </xdr:txBody>
    </xdr:sp>
    <xdr:clientData/>
  </xdr:twoCellAnchor>
  <xdr:twoCellAnchor editAs="oneCell">
    <xdr:from>
      <xdr:col>4</xdr:col>
      <xdr:colOff>242944</xdr:colOff>
      <xdr:row>6</xdr:row>
      <xdr:rowOff>142539</xdr:rowOff>
    </xdr:from>
    <xdr:to>
      <xdr:col>5</xdr:col>
      <xdr:colOff>29584</xdr:colOff>
      <xdr:row>8</xdr:row>
      <xdr:rowOff>173019</xdr:rowOff>
    </xdr:to>
    <xdr:pic>
      <xdr:nvPicPr>
        <xdr:cNvPr id="51" name="Graphic 50" descr="Users">
          <a:extLst>
            <a:ext uri="{FF2B5EF4-FFF2-40B4-BE49-F238E27FC236}">
              <a16:creationId xmlns:a16="http://schemas.microsoft.com/office/drawing/2014/main" id="{CE7BEA8E-4638-7B64-44F7-DE0CE19402E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681344" y="1218304"/>
          <a:ext cx="396240" cy="389068"/>
        </a:xfrm>
        <a:prstGeom prst="rect">
          <a:avLst/>
        </a:prstGeom>
      </xdr:spPr>
    </xdr:pic>
    <xdr:clientData/>
  </xdr:twoCellAnchor>
  <xdr:twoCellAnchor editAs="oneCell">
    <xdr:from>
      <xdr:col>7</xdr:col>
      <xdr:colOff>36755</xdr:colOff>
      <xdr:row>6</xdr:row>
      <xdr:rowOff>109369</xdr:rowOff>
    </xdr:from>
    <xdr:to>
      <xdr:col>7</xdr:col>
      <xdr:colOff>524435</xdr:colOff>
      <xdr:row>9</xdr:row>
      <xdr:rowOff>48409</xdr:rowOff>
    </xdr:to>
    <xdr:pic>
      <xdr:nvPicPr>
        <xdr:cNvPr id="56" name="Graphic 55" descr="Man">
          <a:extLst>
            <a:ext uri="{FF2B5EF4-FFF2-40B4-BE49-F238E27FC236}">
              <a16:creationId xmlns:a16="http://schemas.microsoft.com/office/drawing/2014/main" id="{87BFC954-A5E9-657E-0447-B06BA4B2028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303955" y="1185134"/>
          <a:ext cx="487680" cy="476922"/>
        </a:xfrm>
        <a:prstGeom prst="rect">
          <a:avLst/>
        </a:prstGeom>
      </xdr:spPr>
    </xdr:pic>
    <xdr:clientData/>
  </xdr:twoCellAnchor>
  <xdr:twoCellAnchor>
    <xdr:from>
      <xdr:col>7</xdr:col>
      <xdr:colOff>259080</xdr:colOff>
      <xdr:row>7</xdr:row>
      <xdr:rowOff>30480</xdr:rowOff>
    </xdr:from>
    <xdr:to>
      <xdr:col>8</xdr:col>
      <xdr:colOff>411480</xdr:colOff>
      <xdr:row>8</xdr:row>
      <xdr:rowOff>121920</xdr:rowOff>
    </xdr:to>
    <xdr:sp macro="" textlink="'Pivot Tables'!C8">
      <xdr:nvSpPr>
        <xdr:cNvPr id="57" name="Rectangle: Rounded Corners 56">
          <a:extLst>
            <a:ext uri="{FF2B5EF4-FFF2-40B4-BE49-F238E27FC236}">
              <a16:creationId xmlns:a16="http://schemas.microsoft.com/office/drawing/2014/main" id="{99DD5916-4CCC-4018-A2D0-18C0DA74EB51}"/>
            </a:ext>
          </a:extLst>
        </xdr:cNvPr>
        <xdr:cNvSpPr/>
      </xdr:nvSpPr>
      <xdr:spPr>
        <a:xfrm>
          <a:off x="4526280" y="1310640"/>
          <a:ext cx="76200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7A9BA3-A05F-4B2D-A275-E18154B39512}" type="TxLink">
            <a:rPr lang="en-US" sz="1400" b="1" i="0" u="none" strike="noStrike">
              <a:solidFill>
                <a:schemeClr val="accent1"/>
              </a:solidFill>
              <a:latin typeface="Calibri"/>
              <a:ea typeface="Calibri"/>
              <a:cs typeface="Calibri"/>
            </a:rPr>
            <a:pPr algn="ctr"/>
            <a:t>228</a:t>
          </a:fld>
          <a:endParaRPr lang="en-IN" sz="1400" b="1">
            <a:solidFill>
              <a:schemeClr val="accent1"/>
            </a:solidFill>
          </a:endParaRPr>
        </a:p>
      </xdr:txBody>
    </xdr:sp>
    <xdr:clientData/>
  </xdr:twoCellAnchor>
  <xdr:twoCellAnchor editAs="oneCell">
    <xdr:from>
      <xdr:col>9</xdr:col>
      <xdr:colOff>571052</xdr:colOff>
      <xdr:row>6</xdr:row>
      <xdr:rowOff>106679</xdr:rowOff>
    </xdr:from>
    <xdr:to>
      <xdr:col>10</xdr:col>
      <xdr:colOff>405487</xdr:colOff>
      <xdr:row>9</xdr:row>
      <xdr:rowOff>35858</xdr:rowOff>
    </xdr:to>
    <xdr:pic>
      <xdr:nvPicPr>
        <xdr:cNvPr id="59" name="Graphic 58" descr="Woman">
          <a:extLst>
            <a:ext uri="{FF2B5EF4-FFF2-40B4-BE49-F238E27FC236}">
              <a16:creationId xmlns:a16="http://schemas.microsoft.com/office/drawing/2014/main" id="{4AA273B6-3473-9290-8156-6404571E603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57452" y="1182444"/>
          <a:ext cx="444035" cy="467061"/>
        </a:xfrm>
        <a:prstGeom prst="rect">
          <a:avLst/>
        </a:prstGeom>
      </xdr:spPr>
    </xdr:pic>
    <xdr:clientData/>
  </xdr:twoCellAnchor>
  <xdr:twoCellAnchor editAs="oneCell">
    <xdr:from>
      <xdr:col>12</xdr:col>
      <xdr:colOff>379655</xdr:colOff>
      <xdr:row>6</xdr:row>
      <xdr:rowOff>161364</xdr:rowOff>
    </xdr:from>
    <xdr:to>
      <xdr:col>13</xdr:col>
      <xdr:colOff>219635</xdr:colOff>
      <xdr:row>9</xdr:row>
      <xdr:rowOff>62304</xdr:rowOff>
    </xdr:to>
    <xdr:pic>
      <xdr:nvPicPr>
        <xdr:cNvPr id="61" name="Graphic 60" descr="Rupee">
          <a:extLst>
            <a:ext uri="{FF2B5EF4-FFF2-40B4-BE49-F238E27FC236}">
              <a16:creationId xmlns:a16="http://schemas.microsoft.com/office/drawing/2014/main" id="{86FC3395-D098-BA41-9809-F70CD0BCB43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694855" y="1237129"/>
          <a:ext cx="449580" cy="438822"/>
        </a:xfrm>
        <a:prstGeom prst="rect">
          <a:avLst/>
        </a:prstGeom>
      </xdr:spPr>
    </xdr:pic>
    <xdr:clientData/>
  </xdr:twoCellAnchor>
  <xdr:twoCellAnchor editAs="oneCell">
    <xdr:from>
      <xdr:col>16</xdr:col>
      <xdr:colOff>102645</xdr:colOff>
      <xdr:row>6</xdr:row>
      <xdr:rowOff>143435</xdr:rowOff>
    </xdr:from>
    <xdr:to>
      <xdr:col>16</xdr:col>
      <xdr:colOff>559845</xdr:colOff>
      <xdr:row>9</xdr:row>
      <xdr:rowOff>55581</xdr:rowOff>
    </xdr:to>
    <xdr:pic>
      <xdr:nvPicPr>
        <xdr:cNvPr id="63" name="Graphic 62" descr="Bar graph with upward trend">
          <a:extLst>
            <a:ext uri="{FF2B5EF4-FFF2-40B4-BE49-F238E27FC236}">
              <a16:creationId xmlns:a16="http://schemas.microsoft.com/office/drawing/2014/main" id="{90D1EBEF-4348-117C-F42F-4E63DAFED83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856245" y="1219200"/>
          <a:ext cx="457200" cy="450028"/>
        </a:xfrm>
        <a:prstGeom prst="rect">
          <a:avLst/>
        </a:prstGeom>
      </xdr:spPr>
    </xdr:pic>
    <xdr:clientData/>
  </xdr:twoCellAnchor>
  <xdr:twoCellAnchor>
    <xdr:from>
      <xdr:col>10</xdr:col>
      <xdr:colOff>138953</xdr:colOff>
      <xdr:row>6</xdr:row>
      <xdr:rowOff>153297</xdr:rowOff>
    </xdr:from>
    <xdr:to>
      <xdr:col>11</xdr:col>
      <xdr:colOff>291353</xdr:colOff>
      <xdr:row>8</xdr:row>
      <xdr:rowOff>65443</xdr:rowOff>
    </xdr:to>
    <xdr:sp macro="" textlink="'Pivot Tables'!C7">
      <xdr:nvSpPr>
        <xdr:cNvPr id="64" name="Rectangle: Rounded Corners 63">
          <a:extLst>
            <a:ext uri="{FF2B5EF4-FFF2-40B4-BE49-F238E27FC236}">
              <a16:creationId xmlns:a16="http://schemas.microsoft.com/office/drawing/2014/main" id="{F60D6E46-3633-4BAA-9573-11BF99F320B3}"/>
            </a:ext>
          </a:extLst>
        </xdr:cNvPr>
        <xdr:cNvSpPr/>
      </xdr:nvSpPr>
      <xdr:spPr>
        <a:xfrm>
          <a:off x="6234953" y="1229062"/>
          <a:ext cx="762000" cy="2707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D549FA9-794F-45F7-95B8-5F106D26066E}" type="TxLink">
            <a:rPr lang="en-US" sz="1400" b="1" i="0" u="none" strike="noStrike">
              <a:solidFill>
                <a:srgbClr val="C00000"/>
              </a:solidFill>
              <a:latin typeface="Calibri"/>
              <a:ea typeface="Calibri"/>
              <a:cs typeface="Calibri"/>
            </a:rPr>
            <a:pPr marL="0" indent="0" algn="ctr"/>
            <a:t>272</a:t>
          </a:fld>
          <a:endParaRPr lang="en-IN" sz="1400" b="1">
            <a:solidFill>
              <a:srgbClr val="C00000"/>
            </a:solidFill>
            <a:latin typeface="+mn-lt"/>
            <a:ea typeface="+mn-ea"/>
            <a:cs typeface="+mn-cs"/>
          </a:endParaRPr>
        </a:p>
      </xdr:txBody>
    </xdr:sp>
    <xdr:clientData/>
  </xdr:twoCellAnchor>
  <xdr:twoCellAnchor>
    <xdr:from>
      <xdr:col>13</xdr:col>
      <xdr:colOff>113404</xdr:colOff>
      <xdr:row>7</xdr:row>
      <xdr:rowOff>59616</xdr:rowOff>
    </xdr:from>
    <xdr:to>
      <xdr:col>14</xdr:col>
      <xdr:colOff>265804</xdr:colOff>
      <xdr:row>8</xdr:row>
      <xdr:rowOff>151056</xdr:rowOff>
    </xdr:to>
    <xdr:sp macro="" textlink="'Pivot Tables'!B13">
      <xdr:nvSpPr>
        <xdr:cNvPr id="65" name="Rectangle: Rounded Corners 64">
          <a:extLst>
            <a:ext uri="{FF2B5EF4-FFF2-40B4-BE49-F238E27FC236}">
              <a16:creationId xmlns:a16="http://schemas.microsoft.com/office/drawing/2014/main" id="{D0FDBAA4-153E-4333-AD4F-A5234EFDFFD4}"/>
            </a:ext>
          </a:extLst>
        </xdr:cNvPr>
        <xdr:cNvSpPr/>
      </xdr:nvSpPr>
      <xdr:spPr>
        <a:xfrm>
          <a:off x="8038204" y="1314675"/>
          <a:ext cx="762000" cy="2707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38C198-AABA-423D-ADA7-550C2169A9DE}" type="TxLink">
            <a:rPr lang="en-US" sz="1200" b="1" i="0" u="none" strike="noStrike">
              <a:solidFill>
                <a:schemeClr val="accent3">
                  <a:lumMod val="75000"/>
                </a:schemeClr>
              </a:solidFill>
              <a:latin typeface="Calibri"/>
              <a:ea typeface="Calibri"/>
              <a:cs typeface="Calibri"/>
            </a:rPr>
            <a:pPr algn="l"/>
            <a:t>₹ 70,496</a:t>
          </a:fld>
          <a:endParaRPr lang="en-IN" sz="1200" b="1">
            <a:solidFill>
              <a:schemeClr val="accent3">
                <a:lumMod val="75000"/>
              </a:schemeClr>
            </a:solidFill>
          </a:endParaRPr>
        </a:p>
      </xdr:txBody>
    </xdr:sp>
    <xdr:clientData/>
  </xdr:twoCellAnchor>
  <xdr:twoCellAnchor>
    <xdr:from>
      <xdr:col>16</xdr:col>
      <xdr:colOff>376741</xdr:colOff>
      <xdr:row>7</xdr:row>
      <xdr:rowOff>40340</xdr:rowOff>
    </xdr:from>
    <xdr:to>
      <xdr:col>17</xdr:col>
      <xdr:colOff>536761</xdr:colOff>
      <xdr:row>8</xdr:row>
      <xdr:rowOff>131780</xdr:rowOff>
    </xdr:to>
    <xdr:sp macro="" textlink="'Pivot Tables'!B16">
      <xdr:nvSpPr>
        <xdr:cNvPr id="66" name="Rectangle: Rounded Corners 65">
          <a:extLst>
            <a:ext uri="{FF2B5EF4-FFF2-40B4-BE49-F238E27FC236}">
              <a16:creationId xmlns:a16="http://schemas.microsoft.com/office/drawing/2014/main" id="{513D9914-110B-434E-8B48-4D85BE767121}"/>
            </a:ext>
          </a:extLst>
        </xdr:cNvPr>
        <xdr:cNvSpPr/>
      </xdr:nvSpPr>
      <xdr:spPr>
        <a:xfrm>
          <a:off x="10130341" y="1295399"/>
          <a:ext cx="769620" cy="2707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1031C3-F57B-4D27-8A89-19764FF86A6A}" type="TxLink">
            <a:rPr lang="en-US" sz="1400" b="1" i="0" u="none" strike="noStrike">
              <a:solidFill>
                <a:srgbClr val="7030A0"/>
              </a:solidFill>
              <a:latin typeface="Calibri"/>
              <a:ea typeface="Calibri"/>
              <a:cs typeface="Calibri"/>
            </a:rPr>
            <a:pPr algn="ctr"/>
            <a:t>14.7</a:t>
          </a:fld>
          <a:endParaRPr lang="en-IN" sz="1400" b="1">
            <a:solidFill>
              <a:srgbClr val="7030A0"/>
            </a:solidFill>
          </a:endParaRPr>
        </a:p>
      </xdr:txBody>
    </xdr:sp>
    <xdr:clientData/>
  </xdr:twoCellAnchor>
  <xdr:twoCellAnchor editAs="oneCell">
    <xdr:from>
      <xdr:col>19</xdr:col>
      <xdr:colOff>594360</xdr:colOff>
      <xdr:row>4</xdr:row>
      <xdr:rowOff>175260</xdr:rowOff>
    </xdr:from>
    <xdr:to>
      <xdr:col>24</xdr:col>
      <xdr:colOff>125506</xdr:colOff>
      <xdr:row>11</xdr:row>
      <xdr:rowOff>91439</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5891DA05-1FD5-4F6C-8C84-4754CBE24E6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176760" y="892436"/>
              <a:ext cx="2579146" cy="117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609599</xdr:colOff>
      <xdr:row>11</xdr:row>
      <xdr:rowOff>129540</xdr:rowOff>
    </xdr:from>
    <xdr:to>
      <xdr:col>24</xdr:col>
      <xdr:colOff>116540</xdr:colOff>
      <xdr:row>15</xdr:row>
      <xdr:rowOff>83820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F0F72B8F-F9F2-46B0-8750-AC27D12B83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191999" y="2101775"/>
              <a:ext cx="2554941" cy="671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15239</xdr:colOff>
      <xdr:row>16</xdr:row>
      <xdr:rowOff>0</xdr:rowOff>
    </xdr:from>
    <xdr:to>
      <xdr:col>24</xdr:col>
      <xdr:colOff>116540</xdr:colOff>
      <xdr:row>19</xdr:row>
      <xdr:rowOff>121919</xdr:rowOff>
    </xdr:to>
    <mc:AlternateContent xmlns:mc="http://schemas.openxmlformats.org/markup-compatibility/2006" xmlns:a14="http://schemas.microsoft.com/office/drawing/2010/main">
      <mc:Choice Requires="a14">
        <xdr:graphicFrame macro="">
          <xdr:nvGraphicFramePr>
            <xdr:cNvPr id="9" name="Employment Type 1">
              <a:extLst>
                <a:ext uri="{FF2B5EF4-FFF2-40B4-BE49-F238E27FC236}">
                  <a16:creationId xmlns:a16="http://schemas.microsoft.com/office/drawing/2014/main" id="{6A6C6D7F-5D2F-4E92-ACAD-FF546BA649D9}"/>
                </a:ext>
              </a:extLst>
            </xdr:cNvPr>
            <xdr:cNvGraphicFramePr/>
          </xdr:nvGraphicFramePr>
          <xdr:xfrm>
            <a:off x="0" y="0"/>
            <a:ext cx="0" cy="0"/>
          </xdr:xfrm>
          <a:graphic>
            <a:graphicData uri="http://schemas.microsoft.com/office/drawing/2010/slicer">
              <sle:slicer xmlns:sle="http://schemas.microsoft.com/office/drawing/2010/slicer" name="Employment Type 1"/>
            </a:graphicData>
          </a:graphic>
        </xdr:graphicFrame>
      </mc:Choice>
      <mc:Fallback xmlns="">
        <xdr:sp macro="" textlink="">
          <xdr:nvSpPr>
            <xdr:cNvPr id="0" name=""/>
            <xdr:cNvSpPr>
              <a:spLocks noTextEdit="1"/>
            </xdr:cNvSpPr>
          </xdr:nvSpPr>
          <xdr:spPr>
            <a:xfrm>
              <a:off x="12207239" y="2868706"/>
              <a:ext cx="2539701" cy="659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20</xdr:row>
      <xdr:rowOff>0</xdr:rowOff>
    </xdr:from>
    <xdr:to>
      <xdr:col>24</xdr:col>
      <xdr:colOff>125506</xdr:colOff>
      <xdr:row>28</xdr:row>
      <xdr:rowOff>22859</xdr:rowOff>
    </xdr:to>
    <mc:AlternateContent xmlns:mc="http://schemas.openxmlformats.org/markup-compatibility/2006" xmlns:a14="http://schemas.microsoft.com/office/drawing/2010/main">
      <mc:Choice Requires="a14">
        <xdr:graphicFrame macro="">
          <xdr:nvGraphicFramePr>
            <xdr:cNvPr id="16" name="City 1">
              <a:extLst>
                <a:ext uri="{FF2B5EF4-FFF2-40B4-BE49-F238E27FC236}">
                  <a16:creationId xmlns:a16="http://schemas.microsoft.com/office/drawing/2014/main" id="{89E30DE5-CAFF-4BEE-8353-178CE3684CC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207240" y="3585882"/>
              <a:ext cx="2548666" cy="1457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26894</xdr:colOff>
      <xdr:row>28</xdr:row>
      <xdr:rowOff>167640</xdr:rowOff>
    </xdr:from>
    <xdr:to>
      <xdr:col>24</xdr:col>
      <xdr:colOff>152400</xdr:colOff>
      <xdr:row>35</xdr:row>
      <xdr:rowOff>106680</xdr:rowOff>
    </xdr:to>
    <mc:AlternateContent xmlns:mc="http://schemas.openxmlformats.org/markup-compatibility/2006" xmlns:tsle="http://schemas.microsoft.com/office/drawing/2012/timeslicer">
      <mc:Choice Requires="tsle">
        <xdr:graphicFrame macro="">
          <xdr:nvGraphicFramePr>
            <xdr:cNvPr id="18" name="Joining Date 1">
              <a:extLst>
                <a:ext uri="{FF2B5EF4-FFF2-40B4-BE49-F238E27FC236}">
                  <a16:creationId xmlns:a16="http://schemas.microsoft.com/office/drawing/2014/main" id="{FCF0EB24-F261-41F4-9E16-A81F9429F164}"/>
                </a:ext>
              </a:extLst>
            </xdr:cNvPr>
            <xdr:cNvGraphicFramePr/>
          </xdr:nvGraphicFramePr>
          <xdr:xfrm>
            <a:off x="0" y="0"/>
            <a:ext cx="0" cy="0"/>
          </xdr:xfrm>
          <a:graphic>
            <a:graphicData uri="http://schemas.microsoft.com/office/drawing/2012/timeslicer">
              <tsle:timeslicer name="Joining Date 1"/>
            </a:graphicData>
          </a:graphic>
        </xdr:graphicFrame>
      </mc:Choice>
      <mc:Fallback xmlns="">
        <xdr:sp macro="" textlink="">
          <xdr:nvSpPr>
            <xdr:cNvPr id="0" name=""/>
            <xdr:cNvSpPr>
              <a:spLocks noTextEdit="1"/>
            </xdr:cNvSpPr>
          </xdr:nvSpPr>
          <xdr:spPr>
            <a:xfrm>
              <a:off x="12218894" y="5187875"/>
              <a:ext cx="2563906" cy="11940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586740</xdr:colOff>
      <xdr:row>10</xdr:row>
      <xdr:rowOff>83820</xdr:rowOff>
    </xdr:from>
    <xdr:to>
      <xdr:col>9</xdr:col>
      <xdr:colOff>243840</xdr:colOff>
      <xdr:row>21</xdr:row>
      <xdr:rowOff>99060</xdr:rowOff>
    </xdr:to>
    <xdr:sp macro="" textlink="">
      <xdr:nvSpPr>
        <xdr:cNvPr id="19" name="Rectangle: Rounded Corners 18">
          <a:extLst>
            <a:ext uri="{FF2B5EF4-FFF2-40B4-BE49-F238E27FC236}">
              <a16:creationId xmlns:a16="http://schemas.microsoft.com/office/drawing/2014/main" id="{C5AB7AD5-0827-0719-47B8-0E3BE4E5D1BF}"/>
            </a:ext>
          </a:extLst>
        </xdr:cNvPr>
        <xdr:cNvSpPr/>
      </xdr:nvSpPr>
      <xdr:spPr>
        <a:xfrm>
          <a:off x="2415540" y="1912620"/>
          <a:ext cx="3314700" cy="2026920"/>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580030</xdr:colOff>
      <xdr:row>10</xdr:row>
      <xdr:rowOff>99289</xdr:rowOff>
    </xdr:from>
    <xdr:to>
      <xdr:col>9</xdr:col>
      <xdr:colOff>227463</xdr:colOff>
      <xdr:row>12</xdr:row>
      <xdr:rowOff>170598</xdr:rowOff>
    </xdr:to>
    <xdr:sp macro="" textlink="">
      <xdr:nvSpPr>
        <xdr:cNvPr id="20" name="Rectangle: Rounded Corners 19">
          <a:extLst>
            <a:ext uri="{FF2B5EF4-FFF2-40B4-BE49-F238E27FC236}">
              <a16:creationId xmlns:a16="http://schemas.microsoft.com/office/drawing/2014/main" id="{C2A8B701-D056-F302-A1CE-B6B852AD4849}"/>
            </a:ext>
          </a:extLst>
        </xdr:cNvPr>
        <xdr:cNvSpPr/>
      </xdr:nvSpPr>
      <xdr:spPr>
        <a:xfrm>
          <a:off x="2422478" y="1918990"/>
          <a:ext cx="3332328" cy="43525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Employees</a:t>
          </a:r>
          <a:r>
            <a:rPr lang="en-IN" sz="1200" b="1" baseline="0">
              <a:solidFill>
                <a:schemeClr val="bg1"/>
              </a:solidFill>
            </a:rPr>
            <a:t> By Department</a:t>
          </a:r>
          <a:endParaRPr lang="en-IN" sz="1200" b="1">
            <a:solidFill>
              <a:schemeClr val="bg1"/>
            </a:solidFill>
          </a:endParaRPr>
        </a:p>
      </xdr:txBody>
    </xdr:sp>
    <xdr:clientData/>
  </xdr:twoCellAnchor>
  <xdr:twoCellAnchor>
    <xdr:from>
      <xdr:col>4</xdr:col>
      <xdr:colOff>114300</xdr:colOff>
      <xdr:row>13</xdr:row>
      <xdr:rowOff>0</xdr:rowOff>
    </xdr:from>
    <xdr:to>
      <xdr:col>9</xdr:col>
      <xdr:colOff>38100</xdr:colOff>
      <xdr:row>20</xdr:row>
      <xdr:rowOff>175260</xdr:rowOff>
    </xdr:to>
    <xdr:graphicFrame macro="">
      <xdr:nvGraphicFramePr>
        <xdr:cNvPr id="22" name="Chart 21">
          <a:extLst>
            <a:ext uri="{FF2B5EF4-FFF2-40B4-BE49-F238E27FC236}">
              <a16:creationId xmlns:a16="http://schemas.microsoft.com/office/drawing/2014/main" id="{E4027372-B972-4574-8C3B-23D29B109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342900</xdr:colOff>
      <xdr:row>10</xdr:row>
      <xdr:rowOff>106680</xdr:rowOff>
    </xdr:from>
    <xdr:to>
      <xdr:col>13</xdr:col>
      <xdr:colOff>533400</xdr:colOff>
      <xdr:row>21</xdr:row>
      <xdr:rowOff>121920</xdr:rowOff>
    </xdr:to>
    <xdr:sp macro="" textlink="">
      <xdr:nvSpPr>
        <xdr:cNvPr id="24" name="Rectangle: Rounded Corners 23">
          <a:extLst>
            <a:ext uri="{FF2B5EF4-FFF2-40B4-BE49-F238E27FC236}">
              <a16:creationId xmlns:a16="http://schemas.microsoft.com/office/drawing/2014/main" id="{8EE3729D-8B48-7043-8971-C4A86F6A238C}"/>
            </a:ext>
          </a:extLst>
        </xdr:cNvPr>
        <xdr:cNvSpPr/>
      </xdr:nvSpPr>
      <xdr:spPr>
        <a:xfrm>
          <a:off x="5829300" y="1935480"/>
          <a:ext cx="2628900" cy="2026920"/>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352568</xdr:colOff>
      <xdr:row>10</xdr:row>
      <xdr:rowOff>114527</xdr:rowOff>
    </xdr:from>
    <xdr:to>
      <xdr:col>13</xdr:col>
      <xdr:colOff>534537</xdr:colOff>
      <xdr:row>12</xdr:row>
      <xdr:rowOff>102358</xdr:rowOff>
    </xdr:to>
    <xdr:sp macro="" textlink="">
      <xdr:nvSpPr>
        <xdr:cNvPr id="26" name="Rectangle: Rounded Corners 25">
          <a:extLst>
            <a:ext uri="{FF2B5EF4-FFF2-40B4-BE49-F238E27FC236}">
              <a16:creationId xmlns:a16="http://schemas.microsoft.com/office/drawing/2014/main" id="{D16FCCF3-37F6-FE46-F275-8C9A9D61E5DD}"/>
            </a:ext>
          </a:extLst>
        </xdr:cNvPr>
        <xdr:cNvSpPr/>
      </xdr:nvSpPr>
      <xdr:spPr>
        <a:xfrm>
          <a:off x="5879911" y="1934228"/>
          <a:ext cx="2638566" cy="351772"/>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Gender</a:t>
          </a:r>
          <a:r>
            <a:rPr lang="en-IN" sz="1200" b="1" baseline="0">
              <a:solidFill>
                <a:schemeClr val="bg1"/>
              </a:solidFill>
            </a:rPr>
            <a:t> Distribution</a:t>
          </a:r>
          <a:endParaRPr lang="en-IN" sz="1200" b="1">
            <a:solidFill>
              <a:schemeClr val="bg1"/>
            </a:solidFill>
          </a:endParaRPr>
        </a:p>
      </xdr:txBody>
    </xdr:sp>
    <xdr:clientData/>
  </xdr:twoCellAnchor>
  <xdr:twoCellAnchor>
    <xdr:from>
      <xdr:col>9</xdr:col>
      <xdr:colOff>419100</xdr:colOff>
      <xdr:row>12</xdr:row>
      <xdr:rowOff>167640</xdr:rowOff>
    </xdr:from>
    <xdr:to>
      <xdr:col>13</xdr:col>
      <xdr:colOff>480060</xdr:colOff>
      <xdr:row>21</xdr:row>
      <xdr:rowOff>22860</xdr:rowOff>
    </xdr:to>
    <xdr:graphicFrame macro="">
      <xdr:nvGraphicFramePr>
        <xdr:cNvPr id="29" name="Chart 28">
          <a:extLst>
            <a:ext uri="{FF2B5EF4-FFF2-40B4-BE49-F238E27FC236}">
              <a16:creationId xmlns:a16="http://schemas.microsoft.com/office/drawing/2014/main" id="{126A4992-DF5F-4AD6-8F5D-2FED50E48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114300</xdr:colOff>
      <xdr:row>10</xdr:row>
      <xdr:rowOff>137160</xdr:rowOff>
    </xdr:from>
    <xdr:to>
      <xdr:col>19</xdr:col>
      <xdr:colOff>350520</xdr:colOff>
      <xdr:row>21</xdr:row>
      <xdr:rowOff>152400</xdr:rowOff>
    </xdr:to>
    <xdr:sp macro="" textlink="">
      <xdr:nvSpPr>
        <xdr:cNvPr id="32" name="Rectangle: Rounded Corners 31">
          <a:extLst>
            <a:ext uri="{FF2B5EF4-FFF2-40B4-BE49-F238E27FC236}">
              <a16:creationId xmlns:a16="http://schemas.microsoft.com/office/drawing/2014/main" id="{D1D8EE47-8D78-F2B0-F3F3-EAFBF5C5F6C3}"/>
            </a:ext>
          </a:extLst>
        </xdr:cNvPr>
        <xdr:cNvSpPr/>
      </xdr:nvSpPr>
      <xdr:spPr>
        <a:xfrm>
          <a:off x="8648700" y="1965960"/>
          <a:ext cx="3284220" cy="2026920"/>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136477</xdr:colOff>
      <xdr:row>10</xdr:row>
      <xdr:rowOff>147852</xdr:rowOff>
    </xdr:from>
    <xdr:to>
      <xdr:col>19</xdr:col>
      <xdr:colOff>329820</xdr:colOff>
      <xdr:row>13</xdr:row>
      <xdr:rowOff>68239</xdr:rowOff>
    </xdr:to>
    <xdr:sp macro="" textlink="">
      <xdr:nvSpPr>
        <xdr:cNvPr id="33" name="Rectangle: Rounded Corners 32">
          <a:extLst>
            <a:ext uri="{FF2B5EF4-FFF2-40B4-BE49-F238E27FC236}">
              <a16:creationId xmlns:a16="http://schemas.microsoft.com/office/drawing/2014/main" id="{E740BF9B-4D12-871C-F7CA-F0EDEB0C9549}"/>
            </a:ext>
          </a:extLst>
        </xdr:cNvPr>
        <xdr:cNvSpPr/>
      </xdr:nvSpPr>
      <xdr:spPr>
        <a:xfrm>
          <a:off x="8734567" y="1967553"/>
          <a:ext cx="3264089" cy="46629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Average</a:t>
          </a:r>
          <a:r>
            <a:rPr lang="en-IN" sz="1200" b="1" baseline="0">
              <a:solidFill>
                <a:schemeClr val="bg1"/>
              </a:solidFill>
            </a:rPr>
            <a:t> Sales by Department</a:t>
          </a:r>
          <a:endParaRPr lang="en-IN" sz="1200" b="1">
            <a:solidFill>
              <a:schemeClr val="bg1"/>
            </a:solidFill>
          </a:endParaRPr>
        </a:p>
      </xdr:txBody>
    </xdr:sp>
    <xdr:clientData/>
  </xdr:twoCellAnchor>
  <xdr:twoCellAnchor>
    <xdr:from>
      <xdr:col>14</xdr:col>
      <xdr:colOff>286871</xdr:colOff>
      <xdr:row>13</xdr:row>
      <xdr:rowOff>98612</xdr:rowOff>
    </xdr:from>
    <xdr:to>
      <xdr:col>19</xdr:col>
      <xdr:colOff>134471</xdr:colOff>
      <xdr:row>21</xdr:row>
      <xdr:rowOff>107578</xdr:rowOff>
    </xdr:to>
    <xdr:graphicFrame macro="">
      <xdr:nvGraphicFramePr>
        <xdr:cNvPr id="34" name="Chart 33">
          <a:extLst>
            <a:ext uri="{FF2B5EF4-FFF2-40B4-BE49-F238E27FC236}">
              <a16:creationId xmlns:a16="http://schemas.microsoft.com/office/drawing/2014/main" id="{D4D71B2D-99E1-4D0A-9A2F-CB31776F5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xdr:col>
      <xdr:colOff>4034</xdr:colOff>
      <xdr:row>22</xdr:row>
      <xdr:rowOff>92785</xdr:rowOff>
    </xdr:from>
    <xdr:to>
      <xdr:col>9</xdr:col>
      <xdr:colOff>270734</xdr:colOff>
      <xdr:row>33</xdr:row>
      <xdr:rowOff>108025</xdr:rowOff>
    </xdr:to>
    <xdr:sp macro="" textlink="">
      <xdr:nvSpPr>
        <xdr:cNvPr id="35" name="Rectangle: Rounded Corners 34">
          <a:extLst>
            <a:ext uri="{FF2B5EF4-FFF2-40B4-BE49-F238E27FC236}">
              <a16:creationId xmlns:a16="http://schemas.microsoft.com/office/drawing/2014/main" id="{5B0CA24C-5834-79A4-72E3-F8EB69A206F5}"/>
            </a:ext>
          </a:extLst>
        </xdr:cNvPr>
        <xdr:cNvSpPr/>
      </xdr:nvSpPr>
      <xdr:spPr>
        <a:xfrm>
          <a:off x="2442434" y="4037256"/>
          <a:ext cx="3314700" cy="1987475"/>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24218</xdr:colOff>
      <xdr:row>22</xdr:row>
      <xdr:rowOff>117218</xdr:rowOff>
    </xdr:from>
    <xdr:to>
      <xdr:col>9</xdr:col>
      <xdr:colOff>268941</xdr:colOff>
      <xdr:row>25</xdr:row>
      <xdr:rowOff>9233</xdr:rowOff>
    </xdr:to>
    <xdr:sp macro="" textlink="">
      <xdr:nvSpPr>
        <xdr:cNvPr id="36" name="Rectangle: Rounded Corners 35">
          <a:extLst>
            <a:ext uri="{FF2B5EF4-FFF2-40B4-BE49-F238E27FC236}">
              <a16:creationId xmlns:a16="http://schemas.microsoft.com/office/drawing/2014/main" id="{C48A7B03-55EB-CC37-144E-4EB7A3DE39CC}"/>
            </a:ext>
          </a:extLst>
        </xdr:cNvPr>
        <xdr:cNvSpPr/>
      </xdr:nvSpPr>
      <xdr:spPr>
        <a:xfrm>
          <a:off x="2462618" y="4061689"/>
          <a:ext cx="3292723" cy="429897"/>
        </a:xfrm>
        <a:prstGeom prst="roundRect">
          <a:avLst>
            <a:gd name="adj" fmla="val 10411"/>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Employees</a:t>
          </a:r>
          <a:r>
            <a:rPr lang="en-IN" sz="1200" b="1" baseline="0">
              <a:solidFill>
                <a:schemeClr val="bg1"/>
              </a:solidFill>
            </a:rPr>
            <a:t> By Job Role</a:t>
          </a:r>
          <a:endParaRPr lang="en-IN" sz="1200" b="1">
            <a:solidFill>
              <a:schemeClr val="bg1"/>
            </a:solidFill>
          </a:endParaRPr>
        </a:p>
      </xdr:txBody>
    </xdr:sp>
    <xdr:clientData/>
  </xdr:twoCellAnchor>
  <xdr:twoCellAnchor>
    <xdr:from>
      <xdr:col>4</xdr:col>
      <xdr:colOff>170329</xdr:colOff>
      <xdr:row>25</xdr:row>
      <xdr:rowOff>152400</xdr:rowOff>
    </xdr:from>
    <xdr:to>
      <xdr:col>9</xdr:col>
      <xdr:colOff>80683</xdr:colOff>
      <xdr:row>32</xdr:row>
      <xdr:rowOff>143435</xdr:rowOff>
    </xdr:to>
    <xdr:graphicFrame macro="">
      <xdr:nvGraphicFramePr>
        <xdr:cNvPr id="37" name="Chart 36">
          <a:extLst>
            <a:ext uri="{FF2B5EF4-FFF2-40B4-BE49-F238E27FC236}">
              <a16:creationId xmlns:a16="http://schemas.microsoft.com/office/drawing/2014/main" id="{0918D68A-192E-48A5-9CBA-618F899F8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9</xdr:col>
      <xdr:colOff>398482</xdr:colOff>
      <xdr:row>22</xdr:row>
      <xdr:rowOff>101749</xdr:rowOff>
    </xdr:from>
    <xdr:to>
      <xdr:col>14</xdr:col>
      <xdr:colOff>537882</xdr:colOff>
      <xdr:row>33</xdr:row>
      <xdr:rowOff>116989</xdr:rowOff>
    </xdr:to>
    <xdr:sp macro="" textlink="">
      <xdr:nvSpPr>
        <xdr:cNvPr id="38" name="Rectangle: Rounded Corners 37">
          <a:extLst>
            <a:ext uri="{FF2B5EF4-FFF2-40B4-BE49-F238E27FC236}">
              <a16:creationId xmlns:a16="http://schemas.microsoft.com/office/drawing/2014/main" id="{2DDF32F5-AC73-2469-0BB8-1597F15BEF5F}"/>
            </a:ext>
          </a:extLst>
        </xdr:cNvPr>
        <xdr:cNvSpPr/>
      </xdr:nvSpPr>
      <xdr:spPr>
        <a:xfrm>
          <a:off x="5884882" y="4046220"/>
          <a:ext cx="3187400" cy="1987475"/>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418666</xdr:colOff>
      <xdr:row>22</xdr:row>
      <xdr:rowOff>125505</xdr:rowOff>
    </xdr:from>
    <xdr:to>
      <xdr:col>14</xdr:col>
      <xdr:colOff>510987</xdr:colOff>
      <xdr:row>25</xdr:row>
      <xdr:rowOff>27162</xdr:rowOff>
    </xdr:to>
    <xdr:sp macro="" textlink="">
      <xdr:nvSpPr>
        <xdr:cNvPr id="39" name="Rectangle: Rounded Corners 38">
          <a:extLst>
            <a:ext uri="{FF2B5EF4-FFF2-40B4-BE49-F238E27FC236}">
              <a16:creationId xmlns:a16="http://schemas.microsoft.com/office/drawing/2014/main" id="{8E463E34-2635-7B9C-77D6-6501317E22FB}"/>
            </a:ext>
          </a:extLst>
        </xdr:cNvPr>
        <xdr:cNvSpPr/>
      </xdr:nvSpPr>
      <xdr:spPr>
        <a:xfrm>
          <a:off x="5905066" y="4069976"/>
          <a:ext cx="3140321" cy="439539"/>
        </a:xfrm>
        <a:prstGeom prst="roundRect">
          <a:avLst>
            <a:gd name="adj" fmla="val 10411"/>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Employees</a:t>
          </a:r>
          <a:r>
            <a:rPr lang="en-IN" sz="1200" b="1" baseline="0">
              <a:solidFill>
                <a:schemeClr val="bg1"/>
              </a:solidFill>
            </a:rPr>
            <a:t> Joined by Year</a:t>
          </a:r>
          <a:endParaRPr lang="en-IN" sz="1200" b="1">
            <a:solidFill>
              <a:schemeClr val="bg1"/>
            </a:solidFill>
          </a:endParaRPr>
        </a:p>
      </xdr:txBody>
    </xdr:sp>
    <xdr:clientData/>
  </xdr:twoCellAnchor>
  <xdr:twoCellAnchor>
    <xdr:from>
      <xdr:col>9</xdr:col>
      <xdr:colOff>448235</xdr:colOff>
      <xdr:row>25</xdr:row>
      <xdr:rowOff>53789</xdr:rowOff>
    </xdr:from>
    <xdr:to>
      <xdr:col>14</xdr:col>
      <xdr:colOff>421341</xdr:colOff>
      <xdr:row>33</xdr:row>
      <xdr:rowOff>17929</xdr:rowOff>
    </xdr:to>
    <xdr:graphicFrame macro="">
      <xdr:nvGraphicFramePr>
        <xdr:cNvPr id="40" name="Chart 39">
          <a:extLst>
            <a:ext uri="{FF2B5EF4-FFF2-40B4-BE49-F238E27FC236}">
              <a16:creationId xmlns:a16="http://schemas.microsoft.com/office/drawing/2014/main" id="{B191E17B-75F0-4F37-82FF-CB1FF0F2A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15</xdr:col>
      <xdr:colOff>66788</xdr:colOff>
      <xdr:row>22</xdr:row>
      <xdr:rowOff>137608</xdr:rowOff>
    </xdr:from>
    <xdr:to>
      <xdr:col>19</xdr:col>
      <xdr:colOff>510988</xdr:colOff>
      <xdr:row>33</xdr:row>
      <xdr:rowOff>143435</xdr:rowOff>
    </xdr:to>
    <xdr:sp macro="" textlink="">
      <xdr:nvSpPr>
        <xdr:cNvPr id="41" name="Rectangle: Rounded Corners 40">
          <a:extLst>
            <a:ext uri="{FF2B5EF4-FFF2-40B4-BE49-F238E27FC236}">
              <a16:creationId xmlns:a16="http://schemas.microsoft.com/office/drawing/2014/main" id="{29163BA2-CA69-4C53-0406-330F20C47323}"/>
            </a:ext>
          </a:extLst>
        </xdr:cNvPr>
        <xdr:cNvSpPr/>
      </xdr:nvSpPr>
      <xdr:spPr>
        <a:xfrm>
          <a:off x="9210788" y="4082079"/>
          <a:ext cx="2882600" cy="1978062"/>
        </a:xfrm>
        <a:prstGeom prst="roundRect">
          <a:avLst>
            <a:gd name="adj" fmla="val 53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69042</xdr:colOff>
      <xdr:row>22</xdr:row>
      <xdr:rowOff>152400</xdr:rowOff>
    </xdr:from>
    <xdr:to>
      <xdr:col>19</xdr:col>
      <xdr:colOff>493059</xdr:colOff>
      <xdr:row>25</xdr:row>
      <xdr:rowOff>53790</xdr:rowOff>
    </xdr:to>
    <xdr:sp macro="" textlink="">
      <xdr:nvSpPr>
        <xdr:cNvPr id="42" name="Rectangle: Rounded Corners 41">
          <a:extLst>
            <a:ext uri="{FF2B5EF4-FFF2-40B4-BE49-F238E27FC236}">
              <a16:creationId xmlns:a16="http://schemas.microsoft.com/office/drawing/2014/main" id="{AC455940-FE87-337B-73A7-BC487126662F}"/>
            </a:ext>
          </a:extLst>
        </xdr:cNvPr>
        <xdr:cNvSpPr/>
      </xdr:nvSpPr>
      <xdr:spPr>
        <a:xfrm>
          <a:off x="9213042" y="4096871"/>
          <a:ext cx="2862417" cy="439272"/>
        </a:xfrm>
        <a:prstGeom prst="roundRect">
          <a:avLst>
            <a:gd name="adj" fmla="val 10411"/>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Employees</a:t>
          </a:r>
          <a:r>
            <a:rPr lang="en-IN" sz="1200" b="1" baseline="0">
              <a:solidFill>
                <a:schemeClr val="bg1"/>
              </a:solidFill>
            </a:rPr>
            <a:t> by Employement Type</a:t>
          </a:r>
          <a:endParaRPr lang="en-IN" sz="1200" b="1">
            <a:solidFill>
              <a:schemeClr val="bg1"/>
            </a:solidFill>
          </a:endParaRPr>
        </a:p>
      </xdr:txBody>
    </xdr:sp>
    <xdr:clientData/>
  </xdr:twoCellAnchor>
  <xdr:twoCellAnchor>
    <xdr:from>
      <xdr:col>15</xdr:col>
      <xdr:colOff>188259</xdr:colOff>
      <xdr:row>25</xdr:row>
      <xdr:rowOff>143436</xdr:rowOff>
    </xdr:from>
    <xdr:to>
      <xdr:col>19</xdr:col>
      <xdr:colOff>421341</xdr:colOff>
      <xdr:row>33</xdr:row>
      <xdr:rowOff>0</xdr:rowOff>
    </xdr:to>
    <xdr:graphicFrame macro="">
      <xdr:nvGraphicFramePr>
        <xdr:cNvPr id="43" name="Chart 42">
          <a:extLst>
            <a:ext uri="{FF2B5EF4-FFF2-40B4-BE49-F238E27FC236}">
              <a16:creationId xmlns:a16="http://schemas.microsoft.com/office/drawing/2014/main" id="{26BCCB40-064F-4289-9DE1-A2020E49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chaudhary" refreshedDate="46215.73577673611" createdVersion="8" refreshedVersion="8" minRefreshableVersion="3" recordCount="500" xr:uid="{B451A055-E2A2-49BD-B3CE-86891E1E7CDD}">
  <cacheSource type="worksheet">
    <worksheetSource ref="A1:K501" sheet="Data"/>
  </cacheSource>
  <cacheFields count="14">
    <cacheField name="Employee ID" numFmtId="0">
      <sharedItems containsSemiMixedTypes="0" containsString="0" containsNumber="1" containsInteger="1" minValue="1001" maxValue="1500" count="5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Employee Name" numFmtId="0">
      <sharedItems count="100">
        <s v="Vihaan Sharma"/>
        <s v="Pooja Sharma"/>
        <s v="Karan Kumar"/>
        <s v="Ananya Sharma"/>
        <s v="Amit Verma"/>
        <s v="Sai Kumar"/>
        <s v="Rahul Sharma"/>
        <s v="Rohit Gupta"/>
        <s v="Riya Gupta"/>
        <s v="Sai Gupta"/>
        <s v="Vihaan Kumar"/>
        <s v="Siddharth Sharma"/>
        <s v="Aditya Sharma"/>
        <s v="Siddharth Kumar"/>
        <s v="Siddharth Gupta"/>
        <s v="Diya Sharma"/>
        <s v="Rohit Verma"/>
        <s v="Pooja Singh"/>
        <s v="Neha Singh"/>
        <s v="Pooja Gupta"/>
        <s v="Karan Singh"/>
        <s v="Kabir Sharma"/>
        <s v="Riya Kumar"/>
        <s v="Sneha Gupta"/>
        <s v="Amit Sharma"/>
        <s v="Meera Singh"/>
        <s v="Kabir Verma"/>
        <s v="Pooja Kumar"/>
        <s v="Meera Verma"/>
        <s v="Vihaan Singh"/>
        <s v="Rahul Gupta"/>
        <s v="Ananya Gupta"/>
        <s v="Aditya Singh"/>
        <s v="Priya Sharma"/>
        <s v="Riya Verma"/>
        <s v="Riya Singh"/>
        <s v="Karan Gupta"/>
        <s v="Diya Singh"/>
        <s v="Pooja Verma"/>
        <s v="Priya Verma"/>
        <s v="Priya Singh"/>
        <s v="Neha Gupta"/>
        <s v="Sai Sharma"/>
        <s v="Vivaan Sharma"/>
        <s v="Siddharth Singh"/>
        <s v="Karan Verma"/>
        <s v="Sneha Sharma"/>
        <s v="Aarav Kumar"/>
        <s v="Aditya Gupta"/>
        <s v="Aditya Kumar"/>
        <s v="Priya Kumar"/>
        <s v="Rohit Sharma"/>
        <s v="Neha Kumar"/>
        <s v="Karan Sharma"/>
        <s v="Vihaan Verma"/>
        <s v="Rahul Kumar"/>
        <s v="Vivaan Verma"/>
        <s v="Arjun Sharma"/>
        <s v="Meera Gupta"/>
        <s v="Amit Singh"/>
        <s v="Sneha Singh"/>
        <s v="Kabir Singh"/>
        <s v="Arjun Kumar"/>
        <s v="Vihaan Gupta"/>
        <s v="Ananya Kumar"/>
        <s v="Ananya Verma"/>
        <s v="Riya Sharma"/>
        <s v="Aarav Sharma"/>
        <s v="Vivaan Kumar"/>
        <s v="Sai Singh"/>
        <s v="Rahul Verma"/>
        <s v="Arjun Verma"/>
        <s v="Kabir Gupta"/>
        <s v="Diya Gupta"/>
        <s v="Diya Verma"/>
        <s v="Aditya Verma"/>
        <s v="Vivaan Singh"/>
        <s v="Arjun Singh"/>
        <s v="Meera Sharma"/>
        <s v="Vivaan Gupta"/>
        <s v="Kabir Kumar"/>
        <s v="Sai Verma"/>
        <s v="Arjun Gupta"/>
        <s v="Ananya Singh"/>
        <s v="Aarav Singh"/>
        <s v="Meera Kumar"/>
        <s v="Amit Gupta"/>
        <s v="Priya Gupta"/>
        <s v="Sneha Verma"/>
        <s v="Neha Sharma"/>
        <s v="Aarav Verma"/>
        <s v="Amit Kumar"/>
        <s v="Siddharth Verma"/>
        <s v="Rohit Kumar"/>
        <s v="Diya Kumar"/>
        <s v="Aarav Gupta"/>
        <s v="Rahul Singh"/>
        <s v="Neha Verma"/>
        <s v="Rohit Singh"/>
        <s v="Sneha Kumar"/>
      </sharedItems>
    </cacheField>
    <cacheField name="Gender" numFmtId="0">
      <sharedItems count="2">
        <s v="Female"/>
        <s v="Male"/>
      </sharedItems>
    </cacheField>
    <cacheField name="Age" numFmtId="0">
      <sharedItems containsSemiMixedTypes="0" containsString="0" containsNumber="1" containsInteger="1" minValue="22" maxValue="55"/>
    </cacheField>
    <cacheField name="Department" numFmtId="0">
      <sharedItems count="6">
        <s v="Operations"/>
        <s v="Marketing"/>
        <s v="IT"/>
        <s v="Finance"/>
        <s v="Sales"/>
        <s v="HR"/>
      </sharedItems>
    </cacheField>
    <cacheField name="Job Role" numFmtId="0">
      <sharedItems count="6">
        <s v="Operations Executive"/>
        <s v="Marketing Executive"/>
        <s v="Data Analyst"/>
        <s v="Accountant"/>
        <s v="Sales Executive"/>
        <s v="HR Executive"/>
      </sharedItems>
    </cacheField>
    <cacheField name="Salary" numFmtId="165">
      <sharedItems containsSemiMixedTypes="0" containsString="0" containsNumber="1" containsInteger="1" minValue="25088" maxValue="119948"/>
    </cacheField>
    <cacheField name="Experience (Years)" numFmtId="0">
      <sharedItems containsSemiMixedTypes="0" containsString="0" containsNumber="1" containsInteger="1" minValue="0" maxValue="30"/>
    </cacheField>
    <cacheField name="Joining Date" numFmtId="164">
      <sharedItems containsSemiMixedTypes="0" containsNonDate="0" containsDate="1" containsString="0" minDate="2018-01-04T00:00:00" maxDate="2025-12-21T00:00:00" count="466">
        <d v="2019-11-24T00:00:00"/>
        <d v="2018-09-07T00:00:00"/>
        <d v="2024-06-09T00:00:00"/>
        <d v="2023-10-09T00:00:00"/>
        <d v="2022-11-20T00:00:00"/>
        <d v="2021-02-13T00:00:00"/>
        <d v="2022-12-22T00:00:00"/>
        <d v="2022-11-23T00:00:00"/>
        <d v="2022-02-07T00:00:00"/>
        <d v="2021-12-18T00:00:00"/>
        <d v="2025-02-25T00:00:00"/>
        <d v="2025-09-09T00:00:00"/>
        <d v="2024-03-15T00:00:00"/>
        <d v="2021-03-12T00:00:00"/>
        <d v="2023-05-08T00:00:00"/>
        <d v="2020-03-22T00:00:00"/>
        <d v="2021-12-10T00:00:00"/>
        <d v="2023-01-19T00:00:00"/>
        <d v="2018-06-03T00:00:00"/>
        <d v="2025-07-07T00:00:00"/>
        <d v="2018-11-21T00:00:00"/>
        <d v="2025-03-14T00:00:00"/>
        <d v="2018-02-25T00:00:00"/>
        <d v="2018-03-13T00:00:00"/>
        <d v="2022-04-02T00:00:00"/>
        <d v="2020-01-17T00:00:00"/>
        <d v="2021-10-20T00:00:00"/>
        <d v="2023-04-09T00:00:00"/>
        <d v="2019-02-18T00:00:00"/>
        <d v="2025-09-23T00:00:00"/>
        <d v="2019-12-18T00:00:00"/>
        <d v="2022-09-16T00:00:00"/>
        <d v="2020-11-09T00:00:00"/>
        <d v="2020-09-02T00:00:00"/>
        <d v="2023-01-12T00:00:00"/>
        <d v="2020-03-14T00:00:00"/>
        <d v="2019-07-28T00:00:00"/>
        <d v="2018-11-07T00:00:00"/>
        <d v="2023-01-04T00:00:00"/>
        <d v="2023-07-20T00:00:00"/>
        <d v="2018-09-26T00:00:00"/>
        <d v="2019-12-10T00:00:00"/>
        <d v="2021-07-22T00:00:00"/>
        <d v="2021-07-26T00:00:00"/>
        <d v="2020-11-03T00:00:00"/>
        <d v="2018-04-16T00:00:00"/>
        <d v="2021-03-21T00:00:00"/>
        <d v="2021-02-15T00:00:00"/>
        <d v="2024-09-15T00:00:00"/>
        <d v="2021-05-15T00:00:00"/>
        <d v="2021-07-23T00:00:00"/>
        <d v="2021-07-13T00:00:00"/>
        <d v="2024-07-18T00:00:00"/>
        <d v="2023-11-22T00:00:00"/>
        <d v="2018-02-21T00:00:00"/>
        <d v="2025-06-11T00:00:00"/>
        <d v="2018-06-08T00:00:00"/>
        <d v="2020-04-05T00:00:00"/>
        <d v="2019-03-10T00:00:00"/>
        <d v="2021-02-23T00:00:00"/>
        <d v="2023-02-17T00:00:00"/>
        <d v="2025-12-05T00:00:00"/>
        <d v="2022-06-28T00:00:00"/>
        <d v="2025-06-06T00:00:00"/>
        <d v="2021-02-08T00:00:00"/>
        <d v="2018-02-10T00:00:00"/>
        <d v="2023-07-24T00:00:00"/>
        <d v="2021-06-04T00:00:00"/>
        <d v="2019-04-10T00:00:00"/>
        <d v="2022-12-05T00:00:00"/>
        <d v="2023-03-02T00:00:00"/>
        <d v="2018-03-05T00:00:00"/>
        <d v="2025-08-10T00:00:00"/>
        <d v="2021-05-22T00:00:00"/>
        <d v="2025-12-20T00:00:00"/>
        <d v="2021-05-26T00:00:00"/>
        <d v="2020-02-02T00:00:00"/>
        <d v="2022-12-13T00:00:00"/>
        <d v="2022-01-03T00:00:00"/>
        <d v="2025-05-06T00:00:00"/>
        <d v="2023-11-04T00:00:00"/>
        <d v="2025-02-11T00:00:00"/>
        <d v="2021-09-12T00:00:00"/>
        <d v="2022-08-23T00:00:00"/>
        <d v="2024-02-08T00:00:00"/>
        <d v="2022-07-27T00:00:00"/>
        <d v="2020-02-09T00:00:00"/>
        <d v="2025-03-15T00:00:00"/>
        <d v="2021-12-08T00:00:00"/>
        <d v="2024-07-22T00:00:00"/>
        <d v="2025-01-24T00:00:00"/>
        <d v="2024-11-03T00:00:00"/>
        <d v="2019-04-21T00:00:00"/>
        <d v="2022-01-02T00:00:00"/>
        <d v="2024-10-22T00:00:00"/>
        <d v="2020-04-15T00:00:00"/>
        <d v="2020-02-15T00:00:00"/>
        <d v="2025-02-08T00:00:00"/>
        <d v="2018-10-24T00:00:00"/>
        <d v="2020-11-04T00:00:00"/>
        <d v="2022-06-24T00:00:00"/>
        <d v="2022-03-09T00:00:00"/>
        <d v="2021-11-24T00:00:00"/>
        <d v="2019-08-12T00:00:00"/>
        <d v="2023-10-08T00:00:00"/>
        <d v="2018-05-16T00:00:00"/>
        <d v="2024-10-24T00:00:00"/>
        <d v="2023-04-15T00:00:00"/>
        <d v="2021-02-28T00:00:00"/>
        <d v="2020-10-07T00:00:00"/>
        <d v="2022-03-05T00:00:00"/>
        <d v="2021-10-11T00:00:00"/>
        <d v="2019-08-15T00:00:00"/>
        <d v="2018-12-26T00:00:00"/>
        <d v="2019-08-23T00:00:00"/>
        <d v="2021-07-15T00:00:00"/>
        <d v="2023-11-09T00:00:00"/>
        <d v="2019-12-24T00:00:00"/>
        <d v="2024-12-02T00:00:00"/>
        <d v="2021-02-12T00:00:00"/>
        <d v="2018-10-22T00:00:00"/>
        <d v="2020-03-19T00:00:00"/>
        <d v="2024-08-11T00:00:00"/>
        <d v="2018-11-03T00:00:00"/>
        <d v="2019-06-14T00:00:00"/>
        <d v="2018-01-07T00:00:00"/>
        <d v="2024-03-05T00:00:00"/>
        <d v="2018-08-03T00:00:00"/>
        <d v="2024-01-11T00:00:00"/>
        <d v="2024-09-03T00:00:00"/>
        <d v="2019-09-17T00:00:00"/>
        <d v="2020-10-05T00:00:00"/>
        <d v="2020-08-03T00:00:00"/>
        <d v="2022-08-15T00:00:00"/>
        <d v="2018-08-26T00:00:00"/>
        <d v="2023-12-03T00:00:00"/>
        <d v="2020-06-12T00:00:00"/>
        <d v="2019-09-22T00:00:00"/>
        <d v="2020-06-10T00:00:00"/>
        <d v="2023-03-22T00:00:00"/>
        <d v="2020-04-11T00:00:00"/>
        <d v="2019-09-25T00:00:00"/>
        <d v="2020-12-25T00:00:00"/>
        <d v="2021-08-20T00:00:00"/>
        <d v="2025-08-25T00:00:00"/>
        <d v="2022-01-21T00:00:00"/>
        <d v="2020-05-15T00:00:00"/>
        <d v="2018-07-17T00:00:00"/>
        <d v="2019-12-21T00:00:00"/>
        <d v="2025-10-01T00:00:00"/>
        <d v="2022-02-02T00:00:00"/>
        <d v="2018-11-17T00:00:00"/>
        <d v="2021-10-14T00:00:00"/>
        <d v="2025-01-10T00:00:00"/>
        <d v="2025-05-02T00:00:00"/>
        <d v="2023-07-13T00:00:00"/>
        <d v="2022-02-24T00:00:00"/>
        <d v="2023-11-10T00:00:00"/>
        <d v="2023-10-14T00:00:00"/>
        <d v="2025-01-05T00:00:00"/>
        <d v="2025-06-12T00:00:00"/>
        <d v="2022-04-04T00:00:00"/>
        <d v="2025-04-20T00:00:00"/>
        <d v="2025-02-26T00:00:00"/>
        <d v="2020-06-17T00:00:00"/>
        <d v="2023-08-26T00:00:00"/>
        <d v="2025-09-14T00:00:00"/>
        <d v="2023-03-27T00:00:00"/>
        <d v="2022-03-06T00:00:00"/>
        <d v="2022-03-21T00:00:00"/>
        <d v="2023-10-02T00:00:00"/>
        <d v="2018-08-21T00:00:00"/>
        <d v="2019-12-02T00:00:00"/>
        <d v="2023-12-11T00:00:00"/>
        <d v="2019-05-15T00:00:00"/>
        <d v="2020-06-19T00:00:00"/>
        <d v="2018-02-13T00:00:00"/>
        <d v="2025-10-27T00:00:00"/>
        <d v="2022-12-12T00:00:00"/>
        <d v="2022-02-13T00:00:00"/>
        <d v="2023-06-18T00:00:00"/>
        <d v="2018-03-23T00:00:00"/>
        <d v="2020-07-20T00:00:00"/>
        <d v="2018-06-11T00:00:00"/>
        <d v="2021-12-02T00:00:00"/>
        <d v="2018-10-23T00:00:00"/>
        <d v="2021-07-17T00:00:00"/>
        <d v="2024-06-06T00:00:00"/>
        <d v="2022-04-10T00:00:00"/>
        <d v="2022-05-04T00:00:00"/>
        <d v="2019-06-15T00:00:00"/>
        <d v="2022-03-04T00:00:00"/>
        <d v="2024-06-23T00:00:00"/>
        <d v="2025-08-21T00:00:00"/>
        <d v="2018-03-14T00:00:00"/>
        <d v="2022-10-20T00:00:00"/>
        <d v="2022-04-26T00:00:00"/>
        <d v="2022-10-22T00:00:00"/>
        <d v="2024-11-04T00:00:00"/>
        <d v="2025-05-11T00:00:00"/>
        <d v="2020-07-22T00:00:00"/>
        <d v="2020-08-05T00:00:00"/>
        <d v="2019-09-15T00:00:00"/>
        <d v="2020-03-11T00:00:00"/>
        <d v="2018-08-05T00:00:00"/>
        <d v="2024-05-27T00:00:00"/>
        <d v="2018-02-16T00:00:00"/>
        <d v="2024-07-03T00:00:00"/>
        <d v="2021-01-25T00:00:00"/>
        <d v="2023-03-09T00:00:00"/>
        <d v="2019-10-02T00:00:00"/>
        <d v="2018-03-17T00:00:00"/>
        <d v="2020-11-17T00:00:00"/>
        <d v="2018-06-21T00:00:00"/>
        <d v="2020-09-16T00:00:00"/>
        <d v="2020-07-08T00:00:00"/>
        <d v="2021-01-09T00:00:00"/>
        <d v="2023-05-01T00:00:00"/>
        <d v="2021-09-11T00:00:00"/>
        <d v="2025-08-04T00:00:00"/>
        <d v="2021-12-05T00:00:00"/>
        <d v="2023-04-13T00:00:00"/>
        <d v="2025-08-06T00:00:00"/>
        <d v="2018-09-02T00:00:00"/>
        <d v="2019-12-05T00:00:00"/>
        <d v="2018-01-18T00:00:00"/>
        <d v="2024-03-04T00:00:00"/>
        <d v="2024-02-12T00:00:00"/>
        <d v="2024-11-26T00:00:00"/>
        <d v="2019-11-09T00:00:00"/>
        <d v="2024-02-10T00:00:00"/>
        <d v="2019-09-24T00:00:00"/>
        <d v="2024-06-01T00:00:00"/>
        <d v="2024-02-25T00:00:00"/>
        <d v="2020-12-13T00:00:00"/>
        <d v="2022-02-05T00:00:00"/>
        <d v="2023-09-03T00:00:00"/>
        <d v="2021-10-17T00:00:00"/>
        <d v="2019-03-14T00:00:00"/>
        <d v="2025-10-20T00:00:00"/>
        <d v="2024-06-15T00:00:00"/>
        <d v="2021-08-11T00:00:00"/>
        <d v="2024-06-04T00:00:00"/>
        <d v="2025-05-27T00:00:00"/>
        <d v="2020-12-14T00:00:00"/>
        <d v="2024-09-02T00:00:00"/>
        <d v="2023-03-21T00:00:00"/>
        <d v="2022-04-17T00:00:00"/>
        <d v="2018-08-04T00:00:00"/>
        <d v="2021-09-16T00:00:00"/>
        <d v="2019-01-28T00:00:00"/>
        <d v="2024-08-08T00:00:00"/>
        <d v="2021-08-19T00:00:00"/>
        <d v="2020-06-11T00:00:00"/>
        <d v="2019-06-12T00:00:00"/>
        <d v="2021-05-04T00:00:00"/>
        <d v="2024-07-06T00:00:00"/>
        <d v="2025-10-02T00:00:00"/>
        <d v="2025-07-22T00:00:00"/>
        <d v="2021-05-02T00:00:00"/>
        <d v="2019-10-04T00:00:00"/>
        <d v="2021-05-28T00:00:00"/>
        <d v="2023-12-20T00:00:00"/>
        <d v="2023-09-09T00:00:00"/>
        <d v="2019-03-25T00:00:00"/>
        <d v="2023-04-25T00:00:00"/>
        <d v="2019-11-26T00:00:00"/>
        <d v="2018-12-03T00:00:00"/>
        <d v="2021-08-09T00:00:00"/>
        <d v="2018-01-04T00:00:00"/>
        <d v="2024-04-23T00:00:00"/>
        <d v="2020-01-13T00:00:00"/>
        <d v="2025-02-05T00:00:00"/>
        <d v="2024-12-05T00:00:00"/>
        <d v="2022-03-13T00:00:00"/>
        <d v="2019-10-24T00:00:00"/>
        <d v="2021-09-20T00:00:00"/>
        <d v="2021-12-13T00:00:00"/>
        <d v="2019-09-01T00:00:00"/>
        <d v="2020-08-25T00:00:00"/>
        <d v="2019-09-07T00:00:00"/>
        <d v="2021-01-08T00:00:00"/>
        <d v="2020-02-01T00:00:00"/>
        <d v="2022-03-12T00:00:00"/>
        <d v="2019-05-23T00:00:00"/>
        <d v="2020-06-06T00:00:00"/>
        <d v="2018-08-12T00:00:00"/>
        <d v="2024-12-11T00:00:00"/>
        <d v="2018-07-03T00:00:00"/>
        <d v="2022-10-26T00:00:00"/>
        <d v="2021-03-01T00:00:00"/>
        <d v="2024-12-24T00:00:00"/>
        <d v="2024-02-19T00:00:00"/>
        <d v="2024-12-27T00:00:00"/>
        <d v="2019-03-04T00:00:00"/>
        <d v="2022-08-09T00:00:00"/>
        <d v="2019-12-08T00:00:00"/>
        <d v="2024-08-18T00:00:00"/>
        <d v="2021-03-07T00:00:00"/>
        <d v="2021-11-15T00:00:00"/>
        <d v="2024-12-13T00:00:00"/>
        <d v="2022-08-05T00:00:00"/>
        <d v="2022-07-05T00:00:00"/>
        <d v="2025-09-26T00:00:00"/>
        <d v="2021-11-08T00:00:00"/>
        <d v="2023-12-23T00:00:00"/>
        <d v="2022-03-16T00:00:00"/>
        <d v="2018-06-20T00:00:00"/>
        <d v="2020-02-28T00:00:00"/>
        <d v="2020-03-24T00:00:00"/>
        <d v="2020-07-10T00:00:00"/>
        <d v="2023-05-26T00:00:00"/>
        <d v="2024-06-18T00:00:00"/>
        <d v="2018-05-01T00:00:00"/>
        <d v="2019-09-03T00:00:00"/>
        <d v="2019-06-07T00:00:00"/>
        <d v="2019-01-13T00:00:00"/>
        <d v="2025-04-04T00:00:00"/>
        <d v="2024-08-16T00:00:00"/>
        <d v="2020-08-02T00:00:00"/>
        <d v="2019-02-22T00:00:00"/>
        <d v="2025-10-08T00:00:00"/>
        <d v="2020-04-26T00:00:00"/>
        <d v="2025-01-26T00:00:00"/>
        <d v="2019-05-28T00:00:00"/>
        <d v="2022-06-01T00:00:00"/>
        <d v="2025-06-09T00:00:00"/>
        <d v="2025-09-28T00:00:00"/>
        <d v="2018-03-07T00:00:00"/>
        <d v="2021-05-12T00:00:00"/>
        <d v="2025-03-28T00:00:00"/>
        <d v="2018-03-28T00:00:00"/>
        <d v="2022-07-13T00:00:00"/>
        <d v="2024-10-04T00:00:00"/>
        <d v="2021-01-26T00:00:00"/>
        <d v="2024-07-13T00:00:00"/>
        <d v="2025-11-12T00:00:00"/>
        <d v="2022-12-26T00:00:00"/>
        <d v="2022-07-26T00:00:00"/>
        <d v="2019-08-07T00:00:00"/>
        <d v="2020-03-07T00:00:00"/>
        <d v="2023-11-06T00:00:00"/>
        <d v="2020-08-26T00:00:00"/>
        <d v="2025-07-01T00:00:00"/>
        <d v="2018-11-24T00:00:00"/>
        <d v="2022-03-03T00:00:00"/>
        <d v="2023-08-12T00:00:00"/>
        <d v="2018-10-17T00:00:00"/>
        <d v="2019-11-27T00:00:00"/>
        <d v="2018-09-16T00:00:00"/>
        <d v="2025-03-03T00:00:00"/>
        <d v="2025-01-04T00:00:00"/>
        <d v="2018-01-28T00:00:00"/>
        <d v="2023-03-04T00:00:00"/>
        <d v="2020-02-05T00:00:00"/>
        <d v="2024-06-20T00:00:00"/>
        <d v="2022-11-11T00:00:00"/>
        <d v="2021-08-12T00:00:00"/>
        <d v="2020-09-28T00:00:00"/>
        <d v="2018-09-08T00:00:00"/>
        <d v="2018-02-26T00:00:00"/>
        <d v="2018-04-28T00:00:00"/>
        <d v="2019-02-25T00:00:00"/>
        <d v="2019-01-06T00:00:00"/>
        <d v="2024-04-15T00:00:00"/>
        <d v="2020-12-19T00:00:00"/>
        <d v="2021-05-13T00:00:00"/>
        <d v="2023-12-24T00:00:00"/>
        <d v="2020-09-18T00:00:00"/>
        <d v="2020-05-22T00:00:00"/>
        <d v="2021-12-21T00:00:00"/>
        <d v="2023-09-02T00:00:00"/>
        <d v="2021-12-07T00:00:00"/>
        <d v="2018-07-09T00:00:00"/>
        <d v="2020-01-05T00:00:00"/>
        <d v="2023-09-08T00:00:00"/>
        <d v="2021-11-11T00:00:00"/>
        <d v="2023-08-08T00:00:00"/>
        <d v="2022-01-17T00:00:00"/>
        <d v="2021-06-17T00:00:00"/>
        <d v="2021-11-14T00:00:00"/>
        <d v="2023-01-03T00:00:00"/>
        <d v="2024-08-21T00:00:00"/>
        <d v="2019-12-19T00:00:00"/>
        <d v="2022-08-13T00:00:00"/>
        <d v="2022-11-05T00:00:00"/>
        <d v="2024-09-18T00:00:00"/>
        <d v="2020-04-20T00:00:00"/>
        <d v="2019-05-22T00:00:00"/>
        <d v="2021-02-10T00:00:00"/>
        <d v="2022-12-19T00:00:00"/>
        <d v="2021-12-24T00:00:00"/>
        <d v="2023-05-16T00:00:00"/>
        <d v="2022-12-21T00:00:00"/>
        <d v="2022-09-18T00:00:00"/>
        <d v="2019-07-12T00:00:00"/>
        <d v="2019-05-12T00:00:00"/>
        <d v="2025-01-02T00:00:00"/>
        <d v="2024-06-19T00:00:00"/>
        <d v="2022-04-05T00:00:00"/>
        <d v="2019-08-22T00:00:00"/>
        <d v="2020-10-19T00:00:00"/>
        <d v="2020-09-13T00:00:00"/>
        <d v="2025-03-08T00:00:00"/>
        <d v="2023-08-20T00:00:00"/>
        <d v="2024-03-20T00:00:00"/>
        <d v="2025-11-05T00:00:00"/>
        <d v="2024-04-26T00:00:00"/>
        <d v="2025-04-28T00:00:00"/>
        <d v="2024-11-19T00:00:00"/>
        <d v="2021-07-18T00:00:00"/>
        <d v="2023-12-13T00:00:00"/>
        <d v="2024-06-26T00:00:00"/>
        <d v="2024-02-03T00:00:00"/>
        <d v="2022-12-20T00:00:00"/>
        <d v="2018-05-06T00:00:00"/>
        <d v="2022-09-27T00:00:00"/>
        <d v="2025-11-15T00:00:00"/>
        <d v="2021-11-23T00:00:00"/>
        <d v="2019-07-22T00:00:00"/>
        <d v="2022-03-24T00:00:00"/>
        <d v="2021-04-27T00:00:00"/>
        <d v="2024-04-25T00:00:00"/>
        <d v="2024-11-25T00:00:00"/>
        <d v="2021-07-19T00:00:00"/>
        <d v="2025-10-11T00:00:00"/>
        <d v="2024-05-15T00:00:00"/>
        <d v="2024-04-05T00:00:00"/>
        <d v="2023-08-10T00:00:00"/>
        <d v="2019-08-24T00:00:00"/>
        <d v="2019-06-28T00:00:00"/>
        <d v="2025-12-15T00:00:00"/>
        <d v="2023-07-21T00:00:00"/>
        <d v="2022-12-09T00:00:00"/>
        <d v="2018-03-24T00:00:00"/>
        <d v="2019-08-18T00:00:00"/>
        <d v="2019-11-13T00:00:00"/>
        <d v="2020-01-02T00:00:00"/>
        <d v="2020-10-20T00:00:00"/>
        <d v="2019-08-10T00:00:00"/>
        <d v="2022-10-08T00:00:00"/>
        <d v="2020-12-24T00:00:00"/>
        <d v="2022-05-21T00:00:00"/>
        <d v="2025-10-15T00:00:00"/>
        <d v="2020-02-10T00:00:00"/>
        <d v="2025-04-11T00:00:00"/>
        <d v="2020-01-09T00:00:00"/>
        <d v="2024-01-04T00:00:00"/>
        <d v="2019-05-16T00:00:00"/>
        <d v="2023-11-02T00:00:00"/>
        <d v="2023-09-26T00:00:00"/>
        <d v="2022-01-16T00:00:00"/>
        <d v="2023-06-24T00:00:00"/>
        <d v="2022-05-18T00:00:00"/>
        <d v="2020-10-10T00:00:00"/>
        <d v="2018-03-06T00:00:00"/>
        <d v="2024-11-16T00:00:00"/>
        <d v="2025-02-15T00:00:00"/>
        <d v="2024-04-07T00:00:00"/>
        <d v="2023-11-15T00:00:00"/>
        <d v="2020-09-20T00:00:00"/>
        <d v="2024-01-24T00:00:00"/>
        <d v="2021-04-28T00:00:00"/>
        <d v="2023-03-05T00:00:00"/>
        <d v="2024-10-07T00:00:00"/>
        <d v="2019-10-21T00:00:00"/>
      </sharedItems>
      <fieldGroup par="13"/>
    </cacheField>
    <cacheField name="City" numFmtId="0">
      <sharedItems count="7">
        <s v="Pune"/>
        <s v="Bengaluru"/>
        <s v="Noida"/>
        <s v="Hyderabad"/>
        <s v="Gurgaon"/>
        <s v="Delhi"/>
        <s v="Mumbai"/>
      </sharedItems>
    </cacheField>
    <cacheField name="Employment Type" numFmtId="0">
      <sharedItems count="2">
        <s v="Full-Time"/>
        <s v="Contract"/>
      </sharedItems>
    </cacheField>
    <cacheField name="Months (Joining Date)" numFmtId="0" databaseField="0">
      <fieldGroup base="8">
        <rangePr groupBy="months" startDate="2018-01-04T00:00:00" endDate="2025-12-21T00:00:00"/>
        <groupItems count="14">
          <s v="&lt;04-01-2018"/>
          <s v="Jan"/>
          <s v="Feb"/>
          <s v="Mar"/>
          <s v="Apr"/>
          <s v="May"/>
          <s v="Jun"/>
          <s v="Jul"/>
          <s v="Aug"/>
          <s v="Sep"/>
          <s v="Oct"/>
          <s v="Nov"/>
          <s v="Dec"/>
          <s v="&gt;21-12-2025"/>
        </groupItems>
      </fieldGroup>
    </cacheField>
    <cacheField name="Quarters (Joining Date)" numFmtId="0" databaseField="0">
      <fieldGroup base="8">
        <rangePr groupBy="quarters" startDate="2018-01-04T00:00:00" endDate="2025-12-21T00:00:00"/>
        <groupItems count="6">
          <s v="&lt;04-01-2018"/>
          <s v="Qtr1"/>
          <s v="Qtr2"/>
          <s v="Qtr3"/>
          <s v="Qtr4"/>
          <s v="&gt;21-12-2025"/>
        </groupItems>
      </fieldGroup>
    </cacheField>
    <cacheField name="Years (Joining Date)" numFmtId="0" databaseField="0">
      <fieldGroup base="8">
        <rangePr groupBy="years" startDate="2018-01-04T00:00:00" endDate="2025-12-21T00:00:00"/>
        <groupItems count="10">
          <s v="&lt;04-01-2018"/>
          <s v="2018"/>
          <s v="2019"/>
          <s v="2020"/>
          <s v="2021"/>
          <s v="2022"/>
          <s v="2023"/>
          <s v="2024"/>
          <s v="2025"/>
          <s v="&gt;21-12-2025"/>
        </groupItems>
      </fieldGroup>
    </cacheField>
  </cacheFields>
  <extLst>
    <ext xmlns:x14="http://schemas.microsoft.com/office/spreadsheetml/2009/9/main" uri="{725AE2AE-9491-48be-B2B4-4EB974FC3084}">
      <x14:pivotCacheDefinition pivotCacheId="2115698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7"/>
    <x v="0"/>
    <x v="0"/>
    <n v="54256"/>
    <n v="4"/>
    <x v="0"/>
    <x v="0"/>
    <x v="0"/>
  </r>
  <r>
    <x v="1"/>
    <x v="1"/>
    <x v="1"/>
    <n v="27"/>
    <x v="1"/>
    <x v="1"/>
    <n v="53657"/>
    <n v="7"/>
    <x v="1"/>
    <x v="1"/>
    <x v="1"/>
  </r>
  <r>
    <x v="2"/>
    <x v="2"/>
    <x v="0"/>
    <n v="22"/>
    <x v="2"/>
    <x v="2"/>
    <n v="45926"/>
    <n v="22"/>
    <x v="2"/>
    <x v="2"/>
    <x v="0"/>
  </r>
  <r>
    <x v="3"/>
    <x v="0"/>
    <x v="0"/>
    <n v="28"/>
    <x v="3"/>
    <x v="3"/>
    <n v="72052"/>
    <n v="27"/>
    <x v="3"/>
    <x v="3"/>
    <x v="0"/>
  </r>
  <r>
    <x v="4"/>
    <x v="2"/>
    <x v="1"/>
    <n v="46"/>
    <x v="0"/>
    <x v="0"/>
    <n v="35328"/>
    <n v="17"/>
    <x v="4"/>
    <x v="3"/>
    <x v="1"/>
  </r>
  <r>
    <x v="5"/>
    <x v="3"/>
    <x v="1"/>
    <n v="36"/>
    <x v="1"/>
    <x v="1"/>
    <n v="62930"/>
    <n v="2"/>
    <x v="5"/>
    <x v="4"/>
    <x v="1"/>
  </r>
  <r>
    <x v="6"/>
    <x v="4"/>
    <x v="0"/>
    <n v="44"/>
    <x v="0"/>
    <x v="0"/>
    <n v="52460"/>
    <n v="21"/>
    <x v="6"/>
    <x v="1"/>
    <x v="0"/>
  </r>
  <r>
    <x v="7"/>
    <x v="5"/>
    <x v="1"/>
    <n v="32"/>
    <x v="1"/>
    <x v="1"/>
    <n v="85589"/>
    <n v="12"/>
    <x v="7"/>
    <x v="0"/>
    <x v="0"/>
  </r>
  <r>
    <x v="8"/>
    <x v="6"/>
    <x v="1"/>
    <n v="24"/>
    <x v="0"/>
    <x v="0"/>
    <n v="66347"/>
    <n v="12"/>
    <x v="8"/>
    <x v="0"/>
    <x v="1"/>
  </r>
  <r>
    <x v="9"/>
    <x v="7"/>
    <x v="0"/>
    <n v="31"/>
    <x v="2"/>
    <x v="2"/>
    <n v="59718"/>
    <n v="4"/>
    <x v="9"/>
    <x v="0"/>
    <x v="1"/>
  </r>
  <r>
    <x v="10"/>
    <x v="8"/>
    <x v="0"/>
    <n v="45"/>
    <x v="0"/>
    <x v="0"/>
    <n v="53746"/>
    <n v="4"/>
    <x v="10"/>
    <x v="5"/>
    <x v="0"/>
  </r>
  <r>
    <x v="11"/>
    <x v="9"/>
    <x v="1"/>
    <n v="46"/>
    <x v="2"/>
    <x v="2"/>
    <n v="75019"/>
    <n v="19"/>
    <x v="11"/>
    <x v="0"/>
    <x v="0"/>
  </r>
  <r>
    <x v="12"/>
    <x v="10"/>
    <x v="0"/>
    <n v="43"/>
    <x v="0"/>
    <x v="0"/>
    <n v="39621"/>
    <n v="9"/>
    <x v="12"/>
    <x v="5"/>
    <x v="1"/>
  </r>
  <r>
    <x v="13"/>
    <x v="5"/>
    <x v="1"/>
    <n v="41"/>
    <x v="1"/>
    <x v="1"/>
    <n v="108748"/>
    <n v="16"/>
    <x v="13"/>
    <x v="3"/>
    <x v="0"/>
  </r>
  <r>
    <x v="14"/>
    <x v="11"/>
    <x v="0"/>
    <n v="53"/>
    <x v="1"/>
    <x v="1"/>
    <n v="27552"/>
    <n v="3"/>
    <x v="14"/>
    <x v="5"/>
    <x v="0"/>
  </r>
  <r>
    <x v="15"/>
    <x v="12"/>
    <x v="0"/>
    <n v="26"/>
    <x v="1"/>
    <x v="1"/>
    <n v="94822"/>
    <n v="24"/>
    <x v="15"/>
    <x v="6"/>
    <x v="0"/>
  </r>
  <r>
    <x v="16"/>
    <x v="13"/>
    <x v="0"/>
    <n v="35"/>
    <x v="3"/>
    <x v="3"/>
    <n v="95686"/>
    <n v="24"/>
    <x v="16"/>
    <x v="6"/>
    <x v="1"/>
  </r>
  <r>
    <x v="17"/>
    <x v="14"/>
    <x v="1"/>
    <n v="37"/>
    <x v="4"/>
    <x v="4"/>
    <n v="54451"/>
    <n v="2"/>
    <x v="17"/>
    <x v="0"/>
    <x v="0"/>
  </r>
  <r>
    <x v="18"/>
    <x v="15"/>
    <x v="1"/>
    <n v="25"/>
    <x v="1"/>
    <x v="1"/>
    <n v="55007"/>
    <n v="2"/>
    <x v="18"/>
    <x v="0"/>
    <x v="0"/>
  </r>
  <r>
    <x v="19"/>
    <x v="16"/>
    <x v="1"/>
    <n v="52"/>
    <x v="3"/>
    <x v="3"/>
    <n v="56850"/>
    <n v="25"/>
    <x v="19"/>
    <x v="5"/>
    <x v="0"/>
  </r>
  <r>
    <x v="20"/>
    <x v="17"/>
    <x v="0"/>
    <n v="48"/>
    <x v="0"/>
    <x v="0"/>
    <n v="86213"/>
    <n v="27"/>
    <x v="20"/>
    <x v="1"/>
    <x v="0"/>
  </r>
  <r>
    <x v="21"/>
    <x v="18"/>
    <x v="1"/>
    <n v="37"/>
    <x v="5"/>
    <x v="5"/>
    <n v="50112"/>
    <n v="6"/>
    <x v="21"/>
    <x v="2"/>
    <x v="1"/>
  </r>
  <r>
    <x v="22"/>
    <x v="15"/>
    <x v="0"/>
    <n v="28"/>
    <x v="4"/>
    <x v="4"/>
    <n v="31630"/>
    <n v="20"/>
    <x v="22"/>
    <x v="3"/>
    <x v="0"/>
  </r>
  <r>
    <x v="23"/>
    <x v="19"/>
    <x v="0"/>
    <n v="35"/>
    <x v="2"/>
    <x v="2"/>
    <n v="77565"/>
    <n v="28"/>
    <x v="23"/>
    <x v="5"/>
    <x v="1"/>
  </r>
  <r>
    <x v="24"/>
    <x v="20"/>
    <x v="0"/>
    <n v="53"/>
    <x v="3"/>
    <x v="3"/>
    <n v="45289"/>
    <n v="6"/>
    <x v="24"/>
    <x v="0"/>
    <x v="0"/>
  </r>
  <r>
    <x v="25"/>
    <x v="6"/>
    <x v="1"/>
    <n v="52"/>
    <x v="0"/>
    <x v="0"/>
    <n v="90909"/>
    <n v="29"/>
    <x v="25"/>
    <x v="5"/>
    <x v="0"/>
  </r>
  <r>
    <x v="26"/>
    <x v="21"/>
    <x v="1"/>
    <n v="47"/>
    <x v="5"/>
    <x v="5"/>
    <n v="40713"/>
    <n v="30"/>
    <x v="26"/>
    <x v="5"/>
    <x v="0"/>
  </r>
  <r>
    <x v="27"/>
    <x v="22"/>
    <x v="0"/>
    <n v="38"/>
    <x v="4"/>
    <x v="4"/>
    <n v="51772"/>
    <n v="21"/>
    <x v="27"/>
    <x v="6"/>
    <x v="0"/>
  </r>
  <r>
    <x v="28"/>
    <x v="23"/>
    <x v="0"/>
    <n v="26"/>
    <x v="0"/>
    <x v="0"/>
    <n v="26220"/>
    <n v="14"/>
    <x v="28"/>
    <x v="2"/>
    <x v="1"/>
  </r>
  <r>
    <x v="29"/>
    <x v="24"/>
    <x v="1"/>
    <n v="45"/>
    <x v="2"/>
    <x v="2"/>
    <n v="62353"/>
    <n v="5"/>
    <x v="29"/>
    <x v="4"/>
    <x v="0"/>
  </r>
  <r>
    <x v="30"/>
    <x v="25"/>
    <x v="1"/>
    <n v="30"/>
    <x v="0"/>
    <x v="0"/>
    <n v="59664"/>
    <n v="3"/>
    <x v="30"/>
    <x v="2"/>
    <x v="1"/>
  </r>
  <r>
    <x v="31"/>
    <x v="26"/>
    <x v="0"/>
    <n v="35"/>
    <x v="3"/>
    <x v="3"/>
    <n v="115111"/>
    <n v="20"/>
    <x v="31"/>
    <x v="4"/>
    <x v="0"/>
  </r>
  <r>
    <x v="32"/>
    <x v="17"/>
    <x v="1"/>
    <n v="22"/>
    <x v="5"/>
    <x v="5"/>
    <n v="68719"/>
    <n v="24"/>
    <x v="32"/>
    <x v="2"/>
    <x v="1"/>
  </r>
  <r>
    <x v="33"/>
    <x v="27"/>
    <x v="1"/>
    <n v="29"/>
    <x v="1"/>
    <x v="1"/>
    <n v="34862"/>
    <n v="30"/>
    <x v="33"/>
    <x v="3"/>
    <x v="1"/>
  </r>
  <r>
    <x v="34"/>
    <x v="28"/>
    <x v="0"/>
    <n v="30"/>
    <x v="1"/>
    <x v="1"/>
    <n v="30482"/>
    <n v="9"/>
    <x v="34"/>
    <x v="2"/>
    <x v="0"/>
  </r>
  <r>
    <x v="35"/>
    <x v="29"/>
    <x v="0"/>
    <n v="31"/>
    <x v="0"/>
    <x v="0"/>
    <n v="56029"/>
    <n v="27"/>
    <x v="35"/>
    <x v="5"/>
    <x v="0"/>
  </r>
  <r>
    <x v="36"/>
    <x v="30"/>
    <x v="1"/>
    <n v="39"/>
    <x v="0"/>
    <x v="0"/>
    <n v="45866"/>
    <n v="25"/>
    <x v="36"/>
    <x v="5"/>
    <x v="1"/>
  </r>
  <r>
    <x v="37"/>
    <x v="31"/>
    <x v="0"/>
    <n v="41"/>
    <x v="2"/>
    <x v="2"/>
    <n v="54831"/>
    <n v="7"/>
    <x v="37"/>
    <x v="6"/>
    <x v="1"/>
  </r>
  <r>
    <x v="38"/>
    <x v="32"/>
    <x v="0"/>
    <n v="54"/>
    <x v="3"/>
    <x v="3"/>
    <n v="77386"/>
    <n v="21"/>
    <x v="38"/>
    <x v="4"/>
    <x v="0"/>
  </r>
  <r>
    <x v="39"/>
    <x v="33"/>
    <x v="1"/>
    <n v="49"/>
    <x v="1"/>
    <x v="1"/>
    <n v="70309"/>
    <n v="23"/>
    <x v="39"/>
    <x v="0"/>
    <x v="0"/>
  </r>
  <r>
    <x v="40"/>
    <x v="34"/>
    <x v="0"/>
    <n v="24"/>
    <x v="4"/>
    <x v="4"/>
    <n v="117901"/>
    <n v="13"/>
    <x v="40"/>
    <x v="0"/>
    <x v="0"/>
  </r>
  <r>
    <x v="41"/>
    <x v="1"/>
    <x v="0"/>
    <n v="42"/>
    <x v="3"/>
    <x v="3"/>
    <n v="111951"/>
    <n v="27"/>
    <x v="41"/>
    <x v="0"/>
    <x v="1"/>
  </r>
  <r>
    <x v="42"/>
    <x v="17"/>
    <x v="0"/>
    <n v="40"/>
    <x v="0"/>
    <x v="0"/>
    <n v="97667"/>
    <n v="4"/>
    <x v="42"/>
    <x v="6"/>
    <x v="0"/>
  </r>
  <r>
    <x v="43"/>
    <x v="35"/>
    <x v="0"/>
    <n v="22"/>
    <x v="1"/>
    <x v="1"/>
    <n v="64829"/>
    <n v="9"/>
    <x v="43"/>
    <x v="0"/>
    <x v="1"/>
  </r>
  <r>
    <x v="44"/>
    <x v="36"/>
    <x v="1"/>
    <n v="54"/>
    <x v="4"/>
    <x v="4"/>
    <n v="87021"/>
    <n v="25"/>
    <x v="44"/>
    <x v="4"/>
    <x v="1"/>
  </r>
  <r>
    <x v="45"/>
    <x v="37"/>
    <x v="1"/>
    <n v="34"/>
    <x v="5"/>
    <x v="5"/>
    <n v="44313"/>
    <n v="0"/>
    <x v="45"/>
    <x v="0"/>
    <x v="0"/>
  </r>
  <r>
    <x v="46"/>
    <x v="27"/>
    <x v="1"/>
    <n v="46"/>
    <x v="4"/>
    <x v="4"/>
    <n v="89799"/>
    <n v="12"/>
    <x v="46"/>
    <x v="1"/>
    <x v="0"/>
  </r>
  <r>
    <x v="47"/>
    <x v="38"/>
    <x v="1"/>
    <n v="55"/>
    <x v="5"/>
    <x v="5"/>
    <n v="85889"/>
    <n v="1"/>
    <x v="47"/>
    <x v="2"/>
    <x v="1"/>
  </r>
  <r>
    <x v="48"/>
    <x v="13"/>
    <x v="0"/>
    <n v="50"/>
    <x v="0"/>
    <x v="0"/>
    <n v="105301"/>
    <n v="26"/>
    <x v="48"/>
    <x v="2"/>
    <x v="1"/>
  </r>
  <r>
    <x v="49"/>
    <x v="39"/>
    <x v="0"/>
    <n v="55"/>
    <x v="4"/>
    <x v="4"/>
    <n v="88517"/>
    <n v="20"/>
    <x v="49"/>
    <x v="5"/>
    <x v="1"/>
  </r>
  <r>
    <x v="50"/>
    <x v="40"/>
    <x v="0"/>
    <n v="27"/>
    <x v="2"/>
    <x v="2"/>
    <n v="43136"/>
    <n v="4"/>
    <x v="50"/>
    <x v="2"/>
    <x v="0"/>
  </r>
  <r>
    <x v="51"/>
    <x v="19"/>
    <x v="0"/>
    <n v="51"/>
    <x v="5"/>
    <x v="5"/>
    <n v="79496"/>
    <n v="1"/>
    <x v="51"/>
    <x v="3"/>
    <x v="0"/>
  </r>
  <r>
    <x v="52"/>
    <x v="41"/>
    <x v="1"/>
    <n v="44"/>
    <x v="1"/>
    <x v="1"/>
    <n v="64139"/>
    <n v="24"/>
    <x v="52"/>
    <x v="1"/>
    <x v="0"/>
  </r>
  <r>
    <x v="53"/>
    <x v="37"/>
    <x v="0"/>
    <n v="53"/>
    <x v="4"/>
    <x v="4"/>
    <n v="28804"/>
    <n v="12"/>
    <x v="53"/>
    <x v="3"/>
    <x v="1"/>
  </r>
  <r>
    <x v="54"/>
    <x v="9"/>
    <x v="1"/>
    <n v="23"/>
    <x v="0"/>
    <x v="0"/>
    <n v="76645"/>
    <n v="18"/>
    <x v="54"/>
    <x v="6"/>
    <x v="0"/>
  </r>
  <r>
    <x v="55"/>
    <x v="42"/>
    <x v="0"/>
    <n v="46"/>
    <x v="4"/>
    <x v="4"/>
    <n v="67906"/>
    <n v="6"/>
    <x v="55"/>
    <x v="3"/>
    <x v="1"/>
  </r>
  <r>
    <x v="56"/>
    <x v="17"/>
    <x v="1"/>
    <n v="52"/>
    <x v="3"/>
    <x v="3"/>
    <n v="27540"/>
    <n v="23"/>
    <x v="56"/>
    <x v="1"/>
    <x v="0"/>
  </r>
  <r>
    <x v="57"/>
    <x v="43"/>
    <x v="1"/>
    <n v="34"/>
    <x v="0"/>
    <x v="0"/>
    <n v="27671"/>
    <n v="19"/>
    <x v="57"/>
    <x v="6"/>
    <x v="0"/>
  </r>
  <r>
    <x v="58"/>
    <x v="31"/>
    <x v="0"/>
    <n v="45"/>
    <x v="1"/>
    <x v="1"/>
    <n v="46992"/>
    <n v="19"/>
    <x v="58"/>
    <x v="5"/>
    <x v="0"/>
  </r>
  <r>
    <x v="59"/>
    <x v="8"/>
    <x v="0"/>
    <n v="34"/>
    <x v="3"/>
    <x v="3"/>
    <n v="34961"/>
    <n v="18"/>
    <x v="59"/>
    <x v="3"/>
    <x v="1"/>
  </r>
  <r>
    <x v="60"/>
    <x v="21"/>
    <x v="1"/>
    <n v="44"/>
    <x v="0"/>
    <x v="0"/>
    <n v="94827"/>
    <n v="13"/>
    <x v="60"/>
    <x v="1"/>
    <x v="1"/>
  </r>
  <r>
    <x v="61"/>
    <x v="19"/>
    <x v="1"/>
    <n v="49"/>
    <x v="5"/>
    <x v="5"/>
    <n v="72472"/>
    <n v="20"/>
    <x v="61"/>
    <x v="6"/>
    <x v="0"/>
  </r>
  <r>
    <x v="62"/>
    <x v="44"/>
    <x v="0"/>
    <n v="51"/>
    <x v="0"/>
    <x v="0"/>
    <n v="82091"/>
    <n v="26"/>
    <x v="62"/>
    <x v="2"/>
    <x v="0"/>
  </r>
  <r>
    <x v="63"/>
    <x v="45"/>
    <x v="0"/>
    <n v="46"/>
    <x v="3"/>
    <x v="3"/>
    <n v="69092"/>
    <n v="0"/>
    <x v="63"/>
    <x v="6"/>
    <x v="0"/>
  </r>
  <r>
    <x v="64"/>
    <x v="40"/>
    <x v="0"/>
    <n v="39"/>
    <x v="3"/>
    <x v="3"/>
    <n v="97848"/>
    <n v="0"/>
    <x v="64"/>
    <x v="1"/>
    <x v="1"/>
  </r>
  <r>
    <x v="65"/>
    <x v="28"/>
    <x v="0"/>
    <n v="53"/>
    <x v="4"/>
    <x v="4"/>
    <n v="83743"/>
    <n v="25"/>
    <x v="65"/>
    <x v="2"/>
    <x v="1"/>
  </r>
  <r>
    <x v="66"/>
    <x v="37"/>
    <x v="0"/>
    <n v="52"/>
    <x v="0"/>
    <x v="0"/>
    <n v="97544"/>
    <n v="16"/>
    <x v="66"/>
    <x v="0"/>
    <x v="1"/>
  </r>
  <r>
    <x v="67"/>
    <x v="20"/>
    <x v="0"/>
    <n v="38"/>
    <x v="3"/>
    <x v="3"/>
    <n v="55217"/>
    <n v="3"/>
    <x v="67"/>
    <x v="1"/>
    <x v="0"/>
  </r>
  <r>
    <x v="68"/>
    <x v="31"/>
    <x v="0"/>
    <n v="55"/>
    <x v="2"/>
    <x v="2"/>
    <n v="103222"/>
    <n v="9"/>
    <x v="68"/>
    <x v="2"/>
    <x v="1"/>
  </r>
  <r>
    <x v="69"/>
    <x v="46"/>
    <x v="1"/>
    <n v="39"/>
    <x v="2"/>
    <x v="2"/>
    <n v="30965"/>
    <n v="1"/>
    <x v="69"/>
    <x v="1"/>
    <x v="1"/>
  </r>
  <r>
    <x v="70"/>
    <x v="47"/>
    <x v="0"/>
    <n v="52"/>
    <x v="5"/>
    <x v="5"/>
    <n v="87746"/>
    <n v="14"/>
    <x v="70"/>
    <x v="4"/>
    <x v="1"/>
  </r>
  <r>
    <x v="71"/>
    <x v="48"/>
    <x v="0"/>
    <n v="26"/>
    <x v="5"/>
    <x v="5"/>
    <n v="100631"/>
    <n v="20"/>
    <x v="71"/>
    <x v="3"/>
    <x v="1"/>
  </r>
  <r>
    <x v="72"/>
    <x v="15"/>
    <x v="0"/>
    <n v="36"/>
    <x v="5"/>
    <x v="5"/>
    <n v="93494"/>
    <n v="12"/>
    <x v="72"/>
    <x v="3"/>
    <x v="1"/>
  </r>
  <r>
    <x v="73"/>
    <x v="22"/>
    <x v="1"/>
    <n v="28"/>
    <x v="3"/>
    <x v="3"/>
    <n v="52235"/>
    <n v="20"/>
    <x v="73"/>
    <x v="5"/>
    <x v="0"/>
  </r>
  <r>
    <x v="74"/>
    <x v="5"/>
    <x v="1"/>
    <n v="32"/>
    <x v="2"/>
    <x v="2"/>
    <n v="25350"/>
    <n v="13"/>
    <x v="74"/>
    <x v="6"/>
    <x v="1"/>
  </r>
  <r>
    <x v="75"/>
    <x v="37"/>
    <x v="0"/>
    <n v="51"/>
    <x v="5"/>
    <x v="5"/>
    <n v="34329"/>
    <n v="21"/>
    <x v="75"/>
    <x v="3"/>
    <x v="0"/>
  </r>
  <r>
    <x v="76"/>
    <x v="10"/>
    <x v="1"/>
    <n v="31"/>
    <x v="4"/>
    <x v="4"/>
    <n v="59816"/>
    <n v="26"/>
    <x v="76"/>
    <x v="2"/>
    <x v="1"/>
  </r>
  <r>
    <x v="77"/>
    <x v="35"/>
    <x v="0"/>
    <n v="29"/>
    <x v="1"/>
    <x v="1"/>
    <n v="86433"/>
    <n v="22"/>
    <x v="77"/>
    <x v="4"/>
    <x v="1"/>
  </r>
  <r>
    <x v="78"/>
    <x v="49"/>
    <x v="1"/>
    <n v="49"/>
    <x v="4"/>
    <x v="4"/>
    <n v="67247"/>
    <n v="19"/>
    <x v="78"/>
    <x v="2"/>
    <x v="0"/>
  </r>
  <r>
    <x v="79"/>
    <x v="50"/>
    <x v="1"/>
    <n v="33"/>
    <x v="0"/>
    <x v="0"/>
    <n v="86669"/>
    <n v="16"/>
    <x v="79"/>
    <x v="0"/>
    <x v="1"/>
  </r>
  <r>
    <x v="80"/>
    <x v="51"/>
    <x v="0"/>
    <n v="44"/>
    <x v="0"/>
    <x v="0"/>
    <n v="78523"/>
    <n v="10"/>
    <x v="80"/>
    <x v="3"/>
    <x v="0"/>
  </r>
  <r>
    <x v="81"/>
    <x v="19"/>
    <x v="0"/>
    <n v="47"/>
    <x v="3"/>
    <x v="3"/>
    <n v="97102"/>
    <n v="1"/>
    <x v="81"/>
    <x v="4"/>
    <x v="1"/>
  </r>
  <r>
    <x v="82"/>
    <x v="52"/>
    <x v="1"/>
    <n v="51"/>
    <x v="5"/>
    <x v="5"/>
    <n v="79165"/>
    <n v="1"/>
    <x v="82"/>
    <x v="0"/>
    <x v="1"/>
  </r>
  <r>
    <x v="83"/>
    <x v="53"/>
    <x v="1"/>
    <n v="39"/>
    <x v="0"/>
    <x v="0"/>
    <n v="96987"/>
    <n v="4"/>
    <x v="83"/>
    <x v="6"/>
    <x v="0"/>
  </r>
  <r>
    <x v="84"/>
    <x v="26"/>
    <x v="1"/>
    <n v="41"/>
    <x v="5"/>
    <x v="5"/>
    <n v="97199"/>
    <n v="0"/>
    <x v="84"/>
    <x v="3"/>
    <x v="0"/>
  </r>
  <r>
    <x v="85"/>
    <x v="54"/>
    <x v="0"/>
    <n v="40"/>
    <x v="4"/>
    <x v="4"/>
    <n v="91698"/>
    <n v="22"/>
    <x v="85"/>
    <x v="6"/>
    <x v="1"/>
  </r>
  <r>
    <x v="86"/>
    <x v="2"/>
    <x v="1"/>
    <n v="46"/>
    <x v="2"/>
    <x v="2"/>
    <n v="49983"/>
    <n v="29"/>
    <x v="86"/>
    <x v="3"/>
    <x v="1"/>
  </r>
  <r>
    <x v="87"/>
    <x v="44"/>
    <x v="1"/>
    <n v="40"/>
    <x v="3"/>
    <x v="3"/>
    <n v="64132"/>
    <n v="26"/>
    <x v="87"/>
    <x v="0"/>
    <x v="1"/>
  </r>
  <r>
    <x v="88"/>
    <x v="55"/>
    <x v="0"/>
    <n v="51"/>
    <x v="3"/>
    <x v="3"/>
    <n v="67176"/>
    <n v="27"/>
    <x v="88"/>
    <x v="0"/>
    <x v="1"/>
  </r>
  <r>
    <x v="89"/>
    <x v="1"/>
    <x v="0"/>
    <n v="52"/>
    <x v="2"/>
    <x v="2"/>
    <n v="117435"/>
    <n v="29"/>
    <x v="89"/>
    <x v="3"/>
    <x v="0"/>
  </r>
  <r>
    <x v="90"/>
    <x v="56"/>
    <x v="0"/>
    <n v="28"/>
    <x v="4"/>
    <x v="4"/>
    <n v="82711"/>
    <n v="3"/>
    <x v="90"/>
    <x v="2"/>
    <x v="1"/>
  </r>
  <r>
    <x v="91"/>
    <x v="57"/>
    <x v="0"/>
    <n v="38"/>
    <x v="0"/>
    <x v="0"/>
    <n v="69375"/>
    <n v="19"/>
    <x v="91"/>
    <x v="3"/>
    <x v="1"/>
  </r>
  <r>
    <x v="92"/>
    <x v="58"/>
    <x v="0"/>
    <n v="53"/>
    <x v="0"/>
    <x v="0"/>
    <n v="95912"/>
    <n v="1"/>
    <x v="92"/>
    <x v="1"/>
    <x v="1"/>
  </r>
  <r>
    <x v="93"/>
    <x v="48"/>
    <x v="1"/>
    <n v="28"/>
    <x v="2"/>
    <x v="2"/>
    <n v="83153"/>
    <n v="5"/>
    <x v="93"/>
    <x v="4"/>
    <x v="0"/>
  </r>
  <r>
    <x v="94"/>
    <x v="59"/>
    <x v="0"/>
    <n v="31"/>
    <x v="3"/>
    <x v="3"/>
    <n v="57007"/>
    <n v="16"/>
    <x v="94"/>
    <x v="3"/>
    <x v="0"/>
  </r>
  <r>
    <x v="95"/>
    <x v="42"/>
    <x v="0"/>
    <n v="37"/>
    <x v="2"/>
    <x v="2"/>
    <n v="90230"/>
    <n v="29"/>
    <x v="95"/>
    <x v="1"/>
    <x v="1"/>
  </r>
  <r>
    <x v="96"/>
    <x v="33"/>
    <x v="0"/>
    <n v="40"/>
    <x v="4"/>
    <x v="4"/>
    <n v="113815"/>
    <n v="17"/>
    <x v="96"/>
    <x v="4"/>
    <x v="1"/>
  </r>
  <r>
    <x v="97"/>
    <x v="17"/>
    <x v="0"/>
    <n v="41"/>
    <x v="0"/>
    <x v="0"/>
    <n v="51111"/>
    <n v="12"/>
    <x v="97"/>
    <x v="6"/>
    <x v="1"/>
  </r>
  <r>
    <x v="98"/>
    <x v="60"/>
    <x v="1"/>
    <n v="47"/>
    <x v="1"/>
    <x v="1"/>
    <n v="60976"/>
    <n v="0"/>
    <x v="98"/>
    <x v="6"/>
    <x v="1"/>
  </r>
  <r>
    <x v="99"/>
    <x v="61"/>
    <x v="1"/>
    <n v="34"/>
    <x v="2"/>
    <x v="2"/>
    <n v="106381"/>
    <n v="8"/>
    <x v="99"/>
    <x v="1"/>
    <x v="0"/>
  </r>
  <r>
    <x v="100"/>
    <x v="53"/>
    <x v="0"/>
    <n v="30"/>
    <x v="3"/>
    <x v="3"/>
    <n v="36813"/>
    <n v="29"/>
    <x v="100"/>
    <x v="6"/>
    <x v="0"/>
  </r>
  <r>
    <x v="101"/>
    <x v="62"/>
    <x v="0"/>
    <n v="55"/>
    <x v="2"/>
    <x v="2"/>
    <n v="90771"/>
    <n v="29"/>
    <x v="101"/>
    <x v="3"/>
    <x v="1"/>
  </r>
  <r>
    <x v="102"/>
    <x v="6"/>
    <x v="0"/>
    <n v="26"/>
    <x v="3"/>
    <x v="3"/>
    <n v="43449"/>
    <n v="24"/>
    <x v="102"/>
    <x v="1"/>
    <x v="1"/>
  </r>
  <r>
    <x v="103"/>
    <x v="24"/>
    <x v="0"/>
    <n v="22"/>
    <x v="1"/>
    <x v="1"/>
    <n v="59663"/>
    <n v="17"/>
    <x v="103"/>
    <x v="1"/>
    <x v="1"/>
  </r>
  <r>
    <x v="104"/>
    <x v="18"/>
    <x v="1"/>
    <n v="36"/>
    <x v="1"/>
    <x v="1"/>
    <n v="86797"/>
    <n v="0"/>
    <x v="104"/>
    <x v="1"/>
    <x v="0"/>
  </r>
  <r>
    <x v="105"/>
    <x v="20"/>
    <x v="0"/>
    <n v="29"/>
    <x v="0"/>
    <x v="0"/>
    <n v="43320"/>
    <n v="1"/>
    <x v="105"/>
    <x v="5"/>
    <x v="0"/>
  </r>
  <r>
    <x v="106"/>
    <x v="28"/>
    <x v="0"/>
    <n v="51"/>
    <x v="2"/>
    <x v="2"/>
    <n v="73629"/>
    <n v="21"/>
    <x v="106"/>
    <x v="1"/>
    <x v="0"/>
  </r>
  <r>
    <x v="107"/>
    <x v="63"/>
    <x v="0"/>
    <n v="39"/>
    <x v="4"/>
    <x v="4"/>
    <n v="29288"/>
    <n v="22"/>
    <x v="107"/>
    <x v="6"/>
    <x v="0"/>
  </r>
  <r>
    <x v="108"/>
    <x v="29"/>
    <x v="0"/>
    <n v="25"/>
    <x v="3"/>
    <x v="3"/>
    <n v="77184"/>
    <n v="8"/>
    <x v="108"/>
    <x v="3"/>
    <x v="1"/>
  </r>
  <r>
    <x v="109"/>
    <x v="64"/>
    <x v="1"/>
    <n v="25"/>
    <x v="5"/>
    <x v="5"/>
    <n v="68713"/>
    <n v="7"/>
    <x v="109"/>
    <x v="5"/>
    <x v="0"/>
  </r>
  <r>
    <x v="110"/>
    <x v="65"/>
    <x v="0"/>
    <n v="31"/>
    <x v="1"/>
    <x v="1"/>
    <n v="103116"/>
    <n v="0"/>
    <x v="110"/>
    <x v="0"/>
    <x v="1"/>
  </r>
  <r>
    <x v="111"/>
    <x v="0"/>
    <x v="1"/>
    <n v="22"/>
    <x v="2"/>
    <x v="2"/>
    <n v="71955"/>
    <n v="25"/>
    <x v="111"/>
    <x v="5"/>
    <x v="0"/>
  </r>
  <r>
    <x v="112"/>
    <x v="56"/>
    <x v="0"/>
    <n v="55"/>
    <x v="3"/>
    <x v="3"/>
    <n v="39896"/>
    <n v="23"/>
    <x v="112"/>
    <x v="3"/>
    <x v="1"/>
  </r>
  <r>
    <x v="113"/>
    <x v="66"/>
    <x v="0"/>
    <n v="54"/>
    <x v="1"/>
    <x v="1"/>
    <n v="54038"/>
    <n v="30"/>
    <x v="113"/>
    <x v="3"/>
    <x v="1"/>
  </r>
  <r>
    <x v="114"/>
    <x v="67"/>
    <x v="0"/>
    <n v="47"/>
    <x v="4"/>
    <x v="4"/>
    <n v="80872"/>
    <n v="21"/>
    <x v="114"/>
    <x v="6"/>
    <x v="0"/>
  </r>
  <r>
    <x v="115"/>
    <x v="55"/>
    <x v="1"/>
    <n v="26"/>
    <x v="5"/>
    <x v="5"/>
    <n v="41540"/>
    <n v="8"/>
    <x v="39"/>
    <x v="0"/>
    <x v="1"/>
  </r>
  <r>
    <x v="116"/>
    <x v="13"/>
    <x v="0"/>
    <n v="28"/>
    <x v="4"/>
    <x v="4"/>
    <n v="116983"/>
    <n v="3"/>
    <x v="115"/>
    <x v="2"/>
    <x v="1"/>
  </r>
  <r>
    <x v="117"/>
    <x v="36"/>
    <x v="0"/>
    <n v="28"/>
    <x v="3"/>
    <x v="3"/>
    <n v="65966"/>
    <n v="13"/>
    <x v="116"/>
    <x v="4"/>
    <x v="0"/>
  </r>
  <r>
    <x v="118"/>
    <x v="51"/>
    <x v="1"/>
    <n v="27"/>
    <x v="0"/>
    <x v="0"/>
    <n v="37219"/>
    <n v="13"/>
    <x v="117"/>
    <x v="4"/>
    <x v="0"/>
  </r>
  <r>
    <x v="119"/>
    <x v="68"/>
    <x v="0"/>
    <n v="29"/>
    <x v="1"/>
    <x v="1"/>
    <n v="78845"/>
    <n v="11"/>
    <x v="118"/>
    <x v="4"/>
    <x v="1"/>
  </r>
  <r>
    <x v="120"/>
    <x v="10"/>
    <x v="1"/>
    <n v="31"/>
    <x v="3"/>
    <x v="3"/>
    <n v="111079"/>
    <n v="15"/>
    <x v="119"/>
    <x v="3"/>
    <x v="1"/>
  </r>
  <r>
    <x v="121"/>
    <x v="50"/>
    <x v="1"/>
    <n v="49"/>
    <x v="5"/>
    <x v="5"/>
    <n v="98526"/>
    <n v="24"/>
    <x v="120"/>
    <x v="3"/>
    <x v="1"/>
  </r>
  <r>
    <x v="122"/>
    <x v="69"/>
    <x v="0"/>
    <n v="43"/>
    <x v="5"/>
    <x v="5"/>
    <n v="71009"/>
    <n v="0"/>
    <x v="121"/>
    <x v="1"/>
    <x v="1"/>
  </r>
  <r>
    <x v="123"/>
    <x v="57"/>
    <x v="1"/>
    <n v="55"/>
    <x v="5"/>
    <x v="5"/>
    <n v="53197"/>
    <n v="12"/>
    <x v="122"/>
    <x v="2"/>
    <x v="1"/>
  </r>
  <r>
    <x v="124"/>
    <x v="55"/>
    <x v="1"/>
    <n v="25"/>
    <x v="3"/>
    <x v="3"/>
    <n v="45392"/>
    <n v="5"/>
    <x v="123"/>
    <x v="4"/>
    <x v="1"/>
  </r>
  <r>
    <x v="125"/>
    <x v="19"/>
    <x v="0"/>
    <n v="48"/>
    <x v="0"/>
    <x v="0"/>
    <n v="60804"/>
    <n v="6"/>
    <x v="124"/>
    <x v="5"/>
    <x v="1"/>
  </r>
  <r>
    <x v="126"/>
    <x v="8"/>
    <x v="0"/>
    <n v="24"/>
    <x v="0"/>
    <x v="0"/>
    <n v="53903"/>
    <n v="12"/>
    <x v="125"/>
    <x v="4"/>
    <x v="0"/>
  </r>
  <r>
    <x v="127"/>
    <x v="40"/>
    <x v="0"/>
    <n v="29"/>
    <x v="2"/>
    <x v="2"/>
    <n v="26013"/>
    <n v="15"/>
    <x v="126"/>
    <x v="6"/>
    <x v="0"/>
  </r>
  <r>
    <x v="128"/>
    <x v="25"/>
    <x v="1"/>
    <n v="47"/>
    <x v="1"/>
    <x v="1"/>
    <n v="30544"/>
    <n v="13"/>
    <x v="127"/>
    <x v="3"/>
    <x v="1"/>
  </r>
  <r>
    <x v="129"/>
    <x v="27"/>
    <x v="0"/>
    <n v="48"/>
    <x v="1"/>
    <x v="1"/>
    <n v="62947"/>
    <n v="3"/>
    <x v="128"/>
    <x v="2"/>
    <x v="1"/>
  </r>
  <r>
    <x v="130"/>
    <x v="24"/>
    <x v="0"/>
    <n v="28"/>
    <x v="0"/>
    <x v="0"/>
    <n v="56891"/>
    <n v="13"/>
    <x v="129"/>
    <x v="6"/>
    <x v="1"/>
  </r>
  <r>
    <x v="131"/>
    <x v="70"/>
    <x v="0"/>
    <n v="32"/>
    <x v="0"/>
    <x v="0"/>
    <n v="35011"/>
    <n v="16"/>
    <x v="130"/>
    <x v="2"/>
    <x v="1"/>
  </r>
  <r>
    <x v="132"/>
    <x v="71"/>
    <x v="1"/>
    <n v="31"/>
    <x v="3"/>
    <x v="3"/>
    <n v="58550"/>
    <n v="6"/>
    <x v="131"/>
    <x v="3"/>
    <x v="0"/>
  </r>
  <r>
    <x v="133"/>
    <x v="7"/>
    <x v="0"/>
    <n v="42"/>
    <x v="2"/>
    <x v="2"/>
    <n v="107210"/>
    <n v="10"/>
    <x v="132"/>
    <x v="6"/>
    <x v="1"/>
  </r>
  <r>
    <x v="134"/>
    <x v="60"/>
    <x v="1"/>
    <n v="44"/>
    <x v="0"/>
    <x v="0"/>
    <n v="91497"/>
    <n v="2"/>
    <x v="133"/>
    <x v="5"/>
    <x v="0"/>
  </r>
  <r>
    <x v="135"/>
    <x v="46"/>
    <x v="1"/>
    <n v="54"/>
    <x v="3"/>
    <x v="3"/>
    <n v="75394"/>
    <n v="14"/>
    <x v="134"/>
    <x v="0"/>
    <x v="0"/>
  </r>
  <r>
    <x v="136"/>
    <x v="72"/>
    <x v="1"/>
    <n v="25"/>
    <x v="3"/>
    <x v="3"/>
    <n v="84050"/>
    <n v="3"/>
    <x v="135"/>
    <x v="0"/>
    <x v="0"/>
  </r>
  <r>
    <x v="137"/>
    <x v="73"/>
    <x v="0"/>
    <n v="55"/>
    <x v="5"/>
    <x v="5"/>
    <n v="93517"/>
    <n v="19"/>
    <x v="136"/>
    <x v="4"/>
    <x v="1"/>
  </r>
  <r>
    <x v="138"/>
    <x v="55"/>
    <x v="1"/>
    <n v="43"/>
    <x v="4"/>
    <x v="4"/>
    <n v="33639"/>
    <n v="10"/>
    <x v="137"/>
    <x v="6"/>
    <x v="1"/>
  </r>
  <r>
    <x v="139"/>
    <x v="26"/>
    <x v="0"/>
    <n v="27"/>
    <x v="3"/>
    <x v="3"/>
    <n v="101380"/>
    <n v="21"/>
    <x v="138"/>
    <x v="1"/>
    <x v="1"/>
  </r>
  <r>
    <x v="140"/>
    <x v="21"/>
    <x v="0"/>
    <n v="46"/>
    <x v="2"/>
    <x v="2"/>
    <n v="109343"/>
    <n v="25"/>
    <x v="139"/>
    <x v="1"/>
    <x v="0"/>
  </r>
  <r>
    <x v="141"/>
    <x v="27"/>
    <x v="0"/>
    <n v="23"/>
    <x v="0"/>
    <x v="0"/>
    <n v="72526"/>
    <n v="9"/>
    <x v="140"/>
    <x v="3"/>
    <x v="1"/>
  </r>
  <r>
    <x v="142"/>
    <x v="74"/>
    <x v="1"/>
    <n v="26"/>
    <x v="2"/>
    <x v="2"/>
    <n v="63770"/>
    <n v="27"/>
    <x v="141"/>
    <x v="0"/>
    <x v="0"/>
  </r>
  <r>
    <x v="143"/>
    <x v="55"/>
    <x v="1"/>
    <n v="46"/>
    <x v="0"/>
    <x v="0"/>
    <n v="45218"/>
    <n v="5"/>
    <x v="142"/>
    <x v="0"/>
    <x v="0"/>
  </r>
  <r>
    <x v="144"/>
    <x v="53"/>
    <x v="0"/>
    <n v="45"/>
    <x v="0"/>
    <x v="0"/>
    <n v="113652"/>
    <n v="23"/>
    <x v="143"/>
    <x v="4"/>
    <x v="1"/>
  </r>
  <r>
    <x v="145"/>
    <x v="28"/>
    <x v="0"/>
    <n v="52"/>
    <x v="2"/>
    <x v="2"/>
    <n v="50430"/>
    <n v="11"/>
    <x v="144"/>
    <x v="4"/>
    <x v="1"/>
  </r>
  <r>
    <x v="146"/>
    <x v="14"/>
    <x v="1"/>
    <n v="34"/>
    <x v="1"/>
    <x v="1"/>
    <n v="104254"/>
    <n v="4"/>
    <x v="145"/>
    <x v="6"/>
    <x v="1"/>
  </r>
  <r>
    <x v="147"/>
    <x v="10"/>
    <x v="1"/>
    <n v="40"/>
    <x v="1"/>
    <x v="1"/>
    <n v="35993"/>
    <n v="24"/>
    <x v="146"/>
    <x v="0"/>
    <x v="0"/>
  </r>
  <r>
    <x v="148"/>
    <x v="75"/>
    <x v="0"/>
    <n v="44"/>
    <x v="4"/>
    <x v="4"/>
    <n v="28495"/>
    <n v="13"/>
    <x v="147"/>
    <x v="4"/>
    <x v="0"/>
  </r>
  <r>
    <x v="149"/>
    <x v="32"/>
    <x v="1"/>
    <n v="23"/>
    <x v="4"/>
    <x v="4"/>
    <n v="66770"/>
    <n v="29"/>
    <x v="148"/>
    <x v="4"/>
    <x v="0"/>
  </r>
  <r>
    <x v="150"/>
    <x v="76"/>
    <x v="0"/>
    <n v="30"/>
    <x v="2"/>
    <x v="2"/>
    <n v="117476"/>
    <n v="15"/>
    <x v="149"/>
    <x v="5"/>
    <x v="0"/>
  </r>
  <r>
    <x v="151"/>
    <x v="65"/>
    <x v="0"/>
    <n v="29"/>
    <x v="3"/>
    <x v="3"/>
    <n v="62762"/>
    <n v="7"/>
    <x v="150"/>
    <x v="2"/>
    <x v="1"/>
  </r>
  <r>
    <x v="152"/>
    <x v="72"/>
    <x v="1"/>
    <n v="29"/>
    <x v="0"/>
    <x v="0"/>
    <n v="90513"/>
    <n v="19"/>
    <x v="151"/>
    <x v="0"/>
    <x v="0"/>
  </r>
  <r>
    <x v="153"/>
    <x v="77"/>
    <x v="0"/>
    <n v="22"/>
    <x v="0"/>
    <x v="0"/>
    <n v="105584"/>
    <n v="11"/>
    <x v="152"/>
    <x v="2"/>
    <x v="0"/>
  </r>
  <r>
    <x v="154"/>
    <x v="24"/>
    <x v="1"/>
    <n v="46"/>
    <x v="1"/>
    <x v="1"/>
    <n v="86621"/>
    <n v="1"/>
    <x v="2"/>
    <x v="1"/>
    <x v="0"/>
  </r>
  <r>
    <x v="155"/>
    <x v="32"/>
    <x v="1"/>
    <n v="28"/>
    <x v="3"/>
    <x v="3"/>
    <n v="101271"/>
    <n v="23"/>
    <x v="70"/>
    <x v="4"/>
    <x v="1"/>
  </r>
  <r>
    <x v="156"/>
    <x v="9"/>
    <x v="0"/>
    <n v="33"/>
    <x v="0"/>
    <x v="0"/>
    <n v="42675"/>
    <n v="2"/>
    <x v="153"/>
    <x v="2"/>
    <x v="0"/>
  </r>
  <r>
    <x v="157"/>
    <x v="76"/>
    <x v="0"/>
    <n v="54"/>
    <x v="2"/>
    <x v="2"/>
    <n v="77196"/>
    <n v="26"/>
    <x v="154"/>
    <x v="3"/>
    <x v="0"/>
  </r>
  <r>
    <x v="158"/>
    <x v="24"/>
    <x v="0"/>
    <n v="39"/>
    <x v="3"/>
    <x v="3"/>
    <n v="41315"/>
    <n v="25"/>
    <x v="155"/>
    <x v="1"/>
    <x v="1"/>
  </r>
  <r>
    <x v="159"/>
    <x v="70"/>
    <x v="0"/>
    <n v="53"/>
    <x v="4"/>
    <x v="4"/>
    <n v="73148"/>
    <n v="29"/>
    <x v="156"/>
    <x v="6"/>
    <x v="0"/>
  </r>
  <r>
    <x v="160"/>
    <x v="26"/>
    <x v="0"/>
    <n v="42"/>
    <x v="4"/>
    <x v="4"/>
    <n v="38447"/>
    <n v="2"/>
    <x v="157"/>
    <x v="4"/>
    <x v="1"/>
  </r>
  <r>
    <x v="161"/>
    <x v="38"/>
    <x v="0"/>
    <n v="44"/>
    <x v="1"/>
    <x v="1"/>
    <n v="83606"/>
    <n v="1"/>
    <x v="158"/>
    <x v="4"/>
    <x v="0"/>
  </r>
  <r>
    <x v="162"/>
    <x v="18"/>
    <x v="1"/>
    <n v="23"/>
    <x v="5"/>
    <x v="5"/>
    <n v="43714"/>
    <n v="27"/>
    <x v="159"/>
    <x v="5"/>
    <x v="0"/>
  </r>
  <r>
    <x v="163"/>
    <x v="59"/>
    <x v="0"/>
    <n v="24"/>
    <x v="0"/>
    <x v="0"/>
    <n v="104310"/>
    <n v="4"/>
    <x v="160"/>
    <x v="6"/>
    <x v="0"/>
  </r>
  <r>
    <x v="164"/>
    <x v="62"/>
    <x v="0"/>
    <n v="47"/>
    <x v="1"/>
    <x v="1"/>
    <n v="66207"/>
    <n v="20"/>
    <x v="161"/>
    <x v="5"/>
    <x v="0"/>
  </r>
  <r>
    <x v="165"/>
    <x v="14"/>
    <x v="1"/>
    <n v="38"/>
    <x v="4"/>
    <x v="4"/>
    <n v="59116"/>
    <n v="22"/>
    <x v="162"/>
    <x v="4"/>
    <x v="1"/>
  </r>
  <r>
    <x v="166"/>
    <x v="54"/>
    <x v="1"/>
    <n v="50"/>
    <x v="2"/>
    <x v="2"/>
    <n v="47630"/>
    <n v="28"/>
    <x v="163"/>
    <x v="1"/>
    <x v="1"/>
  </r>
  <r>
    <x v="167"/>
    <x v="24"/>
    <x v="0"/>
    <n v="41"/>
    <x v="0"/>
    <x v="0"/>
    <n v="45644"/>
    <n v="22"/>
    <x v="164"/>
    <x v="2"/>
    <x v="0"/>
  </r>
  <r>
    <x v="168"/>
    <x v="71"/>
    <x v="0"/>
    <n v="23"/>
    <x v="2"/>
    <x v="2"/>
    <n v="72303"/>
    <n v="17"/>
    <x v="165"/>
    <x v="0"/>
    <x v="0"/>
  </r>
  <r>
    <x v="169"/>
    <x v="12"/>
    <x v="0"/>
    <n v="47"/>
    <x v="1"/>
    <x v="1"/>
    <n v="118969"/>
    <n v="23"/>
    <x v="166"/>
    <x v="3"/>
    <x v="1"/>
  </r>
  <r>
    <x v="170"/>
    <x v="75"/>
    <x v="0"/>
    <n v="26"/>
    <x v="1"/>
    <x v="1"/>
    <n v="83979"/>
    <n v="14"/>
    <x v="167"/>
    <x v="3"/>
    <x v="0"/>
  </r>
  <r>
    <x v="171"/>
    <x v="27"/>
    <x v="1"/>
    <n v="29"/>
    <x v="2"/>
    <x v="2"/>
    <n v="92908"/>
    <n v="4"/>
    <x v="168"/>
    <x v="4"/>
    <x v="0"/>
  </r>
  <r>
    <x v="172"/>
    <x v="44"/>
    <x v="1"/>
    <n v="38"/>
    <x v="3"/>
    <x v="3"/>
    <n v="50729"/>
    <n v="20"/>
    <x v="169"/>
    <x v="4"/>
    <x v="0"/>
  </r>
  <r>
    <x v="173"/>
    <x v="5"/>
    <x v="1"/>
    <n v="32"/>
    <x v="1"/>
    <x v="1"/>
    <n v="111341"/>
    <n v="19"/>
    <x v="170"/>
    <x v="3"/>
    <x v="0"/>
  </r>
  <r>
    <x v="174"/>
    <x v="68"/>
    <x v="0"/>
    <n v="35"/>
    <x v="5"/>
    <x v="5"/>
    <n v="99991"/>
    <n v="13"/>
    <x v="171"/>
    <x v="0"/>
    <x v="1"/>
  </r>
  <r>
    <x v="175"/>
    <x v="23"/>
    <x v="1"/>
    <n v="47"/>
    <x v="0"/>
    <x v="0"/>
    <n v="63985"/>
    <n v="14"/>
    <x v="172"/>
    <x v="2"/>
    <x v="1"/>
  </r>
  <r>
    <x v="176"/>
    <x v="7"/>
    <x v="1"/>
    <n v="43"/>
    <x v="4"/>
    <x v="4"/>
    <n v="104516"/>
    <n v="4"/>
    <x v="173"/>
    <x v="1"/>
    <x v="1"/>
  </r>
  <r>
    <x v="177"/>
    <x v="77"/>
    <x v="1"/>
    <n v="42"/>
    <x v="4"/>
    <x v="4"/>
    <n v="56685"/>
    <n v="14"/>
    <x v="174"/>
    <x v="2"/>
    <x v="0"/>
  </r>
  <r>
    <x v="178"/>
    <x v="76"/>
    <x v="0"/>
    <n v="48"/>
    <x v="5"/>
    <x v="5"/>
    <n v="57541"/>
    <n v="30"/>
    <x v="175"/>
    <x v="1"/>
    <x v="1"/>
  </r>
  <r>
    <x v="179"/>
    <x v="9"/>
    <x v="0"/>
    <n v="53"/>
    <x v="2"/>
    <x v="2"/>
    <n v="65441"/>
    <n v="15"/>
    <x v="176"/>
    <x v="0"/>
    <x v="1"/>
  </r>
  <r>
    <x v="180"/>
    <x v="64"/>
    <x v="0"/>
    <n v="25"/>
    <x v="2"/>
    <x v="2"/>
    <n v="31624"/>
    <n v="9"/>
    <x v="177"/>
    <x v="1"/>
    <x v="1"/>
  </r>
  <r>
    <x v="181"/>
    <x v="78"/>
    <x v="1"/>
    <n v="49"/>
    <x v="3"/>
    <x v="3"/>
    <n v="42555"/>
    <n v="28"/>
    <x v="178"/>
    <x v="3"/>
    <x v="1"/>
  </r>
  <r>
    <x v="182"/>
    <x v="79"/>
    <x v="1"/>
    <n v="34"/>
    <x v="3"/>
    <x v="3"/>
    <n v="72516"/>
    <n v="17"/>
    <x v="179"/>
    <x v="0"/>
    <x v="1"/>
  </r>
  <r>
    <x v="183"/>
    <x v="50"/>
    <x v="1"/>
    <n v="30"/>
    <x v="1"/>
    <x v="1"/>
    <n v="37672"/>
    <n v="12"/>
    <x v="180"/>
    <x v="4"/>
    <x v="0"/>
  </r>
  <r>
    <x v="184"/>
    <x v="80"/>
    <x v="0"/>
    <n v="54"/>
    <x v="2"/>
    <x v="2"/>
    <n v="30276"/>
    <n v="1"/>
    <x v="181"/>
    <x v="4"/>
    <x v="1"/>
  </r>
  <r>
    <x v="185"/>
    <x v="45"/>
    <x v="1"/>
    <n v="42"/>
    <x v="1"/>
    <x v="1"/>
    <n v="105356"/>
    <n v="10"/>
    <x v="182"/>
    <x v="1"/>
    <x v="1"/>
  </r>
  <r>
    <x v="186"/>
    <x v="55"/>
    <x v="0"/>
    <n v="41"/>
    <x v="1"/>
    <x v="1"/>
    <n v="87245"/>
    <n v="26"/>
    <x v="183"/>
    <x v="1"/>
    <x v="0"/>
  </r>
  <r>
    <x v="187"/>
    <x v="35"/>
    <x v="1"/>
    <n v="52"/>
    <x v="4"/>
    <x v="4"/>
    <n v="59803"/>
    <n v="30"/>
    <x v="184"/>
    <x v="0"/>
    <x v="1"/>
  </r>
  <r>
    <x v="188"/>
    <x v="13"/>
    <x v="0"/>
    <n v="31"/>
    <x v="2"/>
    <x v="2"/>
    <n v="114224"/>
    <n v="7"/>
    <x v="185"/>
    <x v="5"/>
    <x v="0"/>
  </r>
  <r>
    <x v="189"/>
    <x v="20"/>
    <x v="0"/>
    <n v="31"/>
    <x v="5"/>
    <x v="5"/>
    <n v="79127"/>
    <n v="22"/>
    <x v="186"/>
    <x v="3"/>
    <x v="1"/>
  </r>
  <r>
    <x v="190"/>
    <x v="56"/>
    <x v="1"/>
    <n v="42"/>
    <x v="0"/>
    <x v="0"/>
    <n v="111799"/>
    <n v="15"/>
    <x v="187"/>
    <x v="6"/>
    <x v="1"/>
  </r>
  <r>
    <x v="191"/>
    <x v="59"/>
    <x v="0"/>
    <n v="34"/>
    <x v="1"/>
    <x v="1"/>
    <n v="57311"/>
    <n v="8"/>
    <x v="188"/>
    <x v="3"/>
    <x v="1"/>
  </r>
  <r>
    <x v="192"/>
    <x v="31"/>
    <x v="0"/>
    <n v="52"/>
    <x v="0"/>
    <x v="0"/>
    <n v="70718"/>
    <n v="17"/>
    <x v="189"/>
    <x v="0"/>
    <x v="1"/>
  </r>
  <r>
    <x v="193"/>
    <x v="4"/>
    <x v="0"/>
    <n v="24"/>
    <x v="4"/>
    <x v="4"/>
    <n v="62700"/>
    <n v="30"/>
    <x v="190"/>
    <x v="1"/>
    <x v="1"/>
  </r>
  <r>
    <x v="194"/>
    <x v="16"/>
    <x v="1"/>
    <n v="39"/>
    <x v="0"/>
    <x v="0"/>
    <n v="98664"/>
    <n v="22"/>
    <x v="191"/>
    <x v="0"/>
    <x v="0"/>
  </r>
  <r>
    <x v="195"/>
    <x v="68"/>
    <x v="1"/>
    <n v="36"/>
    <x v="2"/>
    <x v="2"/>
    <n v="31880"/>
    <n v="3"/>
    <x v="192"/>
    <x v="6"/>
    <x v="0"/>
  </r>
  <r>
    <x v="196"/>
    <x v="57"/>
    <x v="1"/>
    <n v="48"/>
    <x v="0"/>
    <x v="0"/>
    <n v="110575"/>
    <n v="29"/>
    <x v="193"/>
    <x v="2"/>
    <x v="1"/>
  </r>
  <r>
    <x v="197"/>
    <x v="46"/>
    <x v="1"/>
    <n v="36"/>
    <x v="3"/>
    <x v="3"/>
    <n v="95143"/>
    <n v="23"/>
    <x v="194"/>
    <x v="3"/>
    <x v="0"/>
  </r>
  <r>
    <x v="198"/>
    <x v="41"/>
    <x v="1"/>
    <n v="40"/>
    <x v="5"/>
    <x v="5"/>
    <n v="29910"/>
    <n v="0"/>
    <x v="195"/>
    <x v="5"/>
    <x v="1"/>
  </r>
  <r>
    <x v="199"/>
    <x v="2"/>
    <x v="0"/>
    <n v="30"/>
    <x v="3"/>
    <x v="3"/>
    <n v="91088"/>
    <n v="14"/>
    <x v="196"/>
    <x v="5"/>
    <x v="1"/>
  </r>
  <r>
    <x v="200"/>
    <x v="20"/>
    <x v="1"/>
    <n v="22"/>
    <x v="2"/>
    <x v="2"/>
    <n v="69185"/>
    <n v="25"/>
    <x v="197"/>
    <x v="3"/>
    <x v="0"/>
  </r>
  <r>
    <x v="201"/>
    <x v="72"/>
    <x v="0"/>
    <n v="54"/>
    <x v="2"/>
    <x v="2"/>
    <n v="67982"/>
    <n v="2"/>
    <x v="198"/>
    <x v="2"/>
    <x v="0"/>
  </r>
  <r>
    <x v="202"/>
    <x v="70"/>
    <x v="1"/>
    <n v="38"/>
    <x v="4"/>
    <x v="4"/>
    <n v="75275"/>
    <n v="7"/>
    <x v="199"/>
    <x v="4"/>
    <x v="0"/>
  </r>
  <r>
    <x v="203"/>
    <x v="4"/>
    <x v="1"/>
    <n v="29"/>
    <x v="3"/>
    <x v="3"/>
    <n v="86000"/>
    <n v="9"/>
    <x v="200"/>
    <x v="0"/>
    <x v="1"/>
  </r>
  <r>
    <x v="204"/>
    <x v="29"/>
    <x v="0"/>
    <n v="36"/>
    <x v="0"/>
    <x v="0"/>
    <n v="53721"/>
    <n v="30"/>
    <x v="201"/>
    <x v="6"/>
    <x v="1"/>
  </r>
  <r>
    <x v="205"/>
    <x v="58"/>
    <x v="1"/>
    <n v="37"/>
    <x v="4"/>
    <x v="4"/>
    <n v="114173"/>
    <n v="24"/>
    <x v="202"/>
    <x v="0"/>
    <x v="1"/>
  </r>
  <r>
    <x v="206"/>
    <x v="66"/>
    <x v="1"/>
    <n v="54"/>
    <x v="5"/>
    <x v="5"/>
    <n v="51497"/>
    <n v="18"/>
    <x v="203"/>
    <x v="3"/>
    <x v="1"/>
  </r>
  <r>
    <x v="207"/>
    <x v="64"/>
    <x v="0"/>
    <n v="27"/>
    <x v="5"/>
    <x v="5"/>
    <n v="91895"/>
    <n v="14"/>
    <x v="204"/>
    <x v="0"/>
    <x v="1"/>
  </r>
  <r>
    <x v="208"/>
    <x v="66"/>
    <x v="0"/>
    <n v="41"/>
    <x v="4"/>
    <x v="4"/>
    <n v="119801"/>
    <n v="0"/>
    <x v="205"/>
    <x v="5"/>
    <x v="0"/>
  </r>
  <r>
    <x v="209"/>
    <x v="12"/>
    <x v="0"/>
    <n v="44"/>
    <x v="1"/>
    <x v="1"/>
    <n v="116800"/>
    <n v="2"/>
    <x v="206"/>
    <x v="5"/>
    <x v="1"/>
  </r>
  <r>
    <x v="210"/>
    <x v="81"/>
    <x v="0"/>
    <n v="45"/>
    <x v="4"/>
    <x v="4"/>
    <n v="75132"/>
    <n v="14"/>
    <x v="207"/>
    <x v="1"/>
    <x v="0"/>
  </r>
  <r>
    <x v="211"/>
    <x v="24"/>
    <x v="1"/>
    <n v="47"/>
    <x v="0"/>
    <x v="0"/>
    <n v="94316"/>
    <n v="4"/>
    <x v="208"/>
    <x v="5"/>
    <x v="1"/>
  </r>
  <r>
    <x v="212"/>
    <x v="58"/>
    <x v="0"/>
    <n v="36"/>
    <x v="4"/>
    <x v="4"/>
    <n v="57441"/>
    <n v="14"/>
    <x v="209"/>
    <x v="2"/>
    <x v="0"/>
  </r>
  <r>
    <x v="213"/>
    <x v="27"/>
    <x v="1"/>
    <n v="37"/>
    <x v="5"/>
    <x v="5"/>
    <n v="52011"/>
    <n v="2"/>
    <x v="210"/>
    <x v="6"/>
    <x v="0"/>
  </r>
  <r>
    <x v="214"/>
    <x v="79"/>
    <x v="0"/>
    <n v="36"/>
    <x v="2"/>
    <x v="2"/>
    <n v="95747"/>
    <n v="6"/>
    <x v="211"/>
    <x v="4"/>
    <x v="0"/>
  </r>
  <r>
    <x v="215"/>
    <x v="35"/>
    <x v="0"/>
    <n v="37"/>
    <x v="0"/>
    <x v="0"/>
    <n v="64552"/>
    <n v="28"/>
    <x v="212"/>
    <x v="2"/>
    <x v="1"/>
  </r>
  <r>
    <x v="216"/>
    <x v="33"/>
    <x v="1"/>
    <n v="49"/>
    <x v="3"/>
    <x v="3"/>
    <n v="97856"/>
    <n v="15"/>
    <x v="213"/>
    <x v="1"/>
    <x v="1"/>
  </r>
  <r>
    <x v="217"/>
    <x v="30"/>
    <x v="0"/>
    <n v="31"/>
    <x v="1"/>
    <x v="1"/>
    <n v="64306"/>
    <n v="12"/>
    <x v="214"/>
    <x v="2"/>
    <x v="0"/>
  </r>
  <r>
    <x v="218"/>
    <x v="82"/>
    <x v="1"/>
    <n v="48"/>
    <x v="3"/>
    <x v="3"/>
    <n v="79592"/>
    <n v="17"/>
    <x v="215"/>
    <x v="4"/>
    <x v="0"/>
  </r>
  <r>
    <x v="219"/>
    <x v="48"/>
    <x v="0"/>
    <n v="27"/>
    <x v="3"/>
    <x v="3"/>
    <n v="95206"/>
    <n v="23"/>
    <x v="216"/>
    <x v="6"/>
    <x v="0"/>
  </r>
  <r>
    <x v="220"/>
    <x v="64"/>
    <x v="1"/>
    <n v="52"/>
    <x v="5"/>
    <x v="5"/>
    <n v="52379"/>
    <n v="27"/>
    <x v="217"/>
    <x v="2"/>
    <x v="0"/>
  </r>
  <r>
    <x v="221"/>
    <x v="63"/>
    <x v="1"/>
    <n v="35"/>
    <x v="0"/>
    <x v="0"/>
    <n v="76987"/>
    <n v="29"/>
    <x v="218"/>
    <x v="3"/>
    <x v="1"/>
  </r>
  <r>
    <x v="222"/>
    <x v="2"/>
    <x v="0"/>
    <n v="41"/>
    <x v="4"/>
    <x v="4"/>
    <n v="59283"/>
    <n v="11"/>
    <x v="219"/>
    <x v="3"/>
    <x v="1"/>
  </r>
  <r>
    <x v="223"/>
    <x v="83"/>
    <x v="0"/>
    <n v="48"/>
    <x v="3"/>
    <x v="3"/>
    <n v="30992"/>
    <n v="18"/>
    <x v="220"/>
    <x v="5"/>
    <x v="1"/>
  </r>
  <r>
    <x v="224"/>
    <x v="22"/>
    <x v="0"/>
    <n v="40"/>
    <x v="1"/>
    <x v="1"/>
    <n v="44976"/>
    <n v="6"/>
    <x v="221"/>
    <x v="0"/>
    <x v="0"/>
  </r>
  <r>
    <x v="225"/>
    <x v="25"/>
    <x v="0"/>
    <n v="53"/>
    <x v="4"/>
    <x v="4"/>
    <n v="119838"/>
    <n v="20"/>
    <x v="222"/>
    <x v="1"/>
    <x v="1"/>
  </r>
  <r>
    <x v="226"/>
    <x v="62"/>
    <x v="0"/>
    <n v="33"/>
    <x v="2"/>
    <x v="2"/>
    <n v="96058"/>
    <n v="20"/>
    <x v="223"/>
    <x v="3"/>
    <x v="0"/>
  </r>
  <r>
    <x v="227"/>
    <x v="43"/>
    <x v="0"/>
    <n v="30"/>
    <x v="0"/>
    <x v="0"/>
    <n v="107667"/>
    <n v="7"/>
    <x v="224"/>
    <x v="5"/>
    <x v="0"/>
  </r>
  <r>
    <x v="228"/>
    <x v="20"/>
    <x v="1"/>
    <n v="52"/>
    <x v="1"/>
    <x v="1"/>
    <n v="111413"/>
    <n v="15"/>
    <x v="225"/>
    <x v="0"/>
    <x v="1"/>
  </r>
  <r>
    <x v="229"/>
    <x v="47"/>
    <x v="0"/>
    <n v="40"/>
    <x v="5"/>
    <x v="5"/>
    <n v="27246"/>
    <n v="16"/>
    <x v="226"/>
    <x v="5"/>
    <x v="0"/>
  </r>
  <r>
    <x v="230"/>
    <x v="64"/>
    <x v="0"/>
    <n v="44"/>
    <x v="2"/>
    <x v="2"/>
    <n v="60038"/>
    <n v="25"/>
    <x v="227"/>
    <x v="6"/>
    <x v="1"/>
  </r>
  <r>
    <x v="231"/>
    <x v="74"/>
    <x v="0"/>
    <n v="27"/>
    <x v="1"/>
    <x v="1"/>
    <n v="110686"/>
    <n v="27"/>
    <x v="176"/>
    <x v="6"/>
    <x v="1"/>
  </r>
  <r>
    <x v="232"/>
    <x v="51"/>
    <x v="1"/>
    <n v="32"/>
    <x v="1"/>
    <x v="1"/>
    <n v="35837"/>
    <n v="15"/>
    <x v="228"/>
    <x v="4"/>
    <x v="0"/>
  </r>
  <r>
    <x v="233"/>
    <x v="56"/>
    <x v="1"/>
    <n v="52"/>
    <x v="1"/>
    <x v="1"/>
    <n v="60532"/>
    <n v="1"/>
    <x v="229"/>
    <x v="0"/>
    <x v="0"/>
  </r>
  <r>
    <x v="234"/>
    <x v="6"/>
    <x v="1"/>
    <n v="31"/>
    <x v="2"/>
    <x v="2"/>
    <n v="118416"/>
    <n v="26"/>
    <x v="230"/>
    <x v="2"/>
    <x v="0"/>
  </r>
  <r>
    <x v="235"/>
    <x v="52"/>
    <x v="0"/>
    <n v="46"/>
    <x v="1"/>
    <x v="1"/>
    <n v="43343"/>
    <n v="25"/>
    <x v="231"/>
    <x v="4"/>
    <x v="0"/>
  </r>
  <r>
    <x v="236"/>
    <x v="38"/>
    <x v="1"/>
    <n v="43"/>
    <x v="5"/>
    <x v="5"/>
    <n v="104320"/>
    <n v="24"/>
    <x v="232"/>
    <x v="1"/>
    <x v="1"/>
  </r>
  <r>
    <x v="237"/>
    <x v="16"/>
    <x v="0"/>
    <n v="46"/>
    <x v="4"/>
    <x v="4"/>
    <n v="81603"/>
    <n v="5"/>
    <x v="233"/>
    <x v="0"/>
    <x v="1"/>
  </r>
  <r>
    <x v="238"/>
    <x v="12"/>
    <x v="0"/>
    <n v="31"/>
    <x v="2"/>
    <x v="2"/>
    <n v="74807"/>
    <n v="22"/>
    <x v="234"/>
    <x v="4"/>
    <x v="1"/>
  </r>
  <r>
    <x v="239"/>
    <x v="12"/>
    <x v="0"/>
    <n v="50"/>
    <x v="5"/>
    <x v="5"/>
    <n v="72175"/>
    <n v="24"/>
    <x v="235"/>
    <x v="5"/>
    <x v="0"/>
  </r>
  <r>
    <x v="240"/>
    <x v="2"/>
    <x v="0"/>
    <n v="28"/>
    <x v="4"/>
    <x v="4"/>
    <n v="28442"/>
    <n v="2"/>
    <x v="236"/>
    <x v="0"/>
    <x v="1"/>
  </r>
  <r>
    <x v="241"/>
    <x v="84"/>
    <x v="0"/>
    <n v="46"/>
    <x v="4"/>
    <x v="4"/>
    <n v="36101"/>
    <n v="23"/>
    <x v="237"/>
    <x v="2"/>
    <x v="1"/>
  </r>
  <r>
    <x v="242"/>
    <x v="77"/>
    <x v="0"/>
    <n v="39"/>
    <x v="2"/>
    <x v="2"/>
    <n v="89634"/>
    <n v="4"/>
    <x v="238"/>
    <x v="4"/>
    <x v="1"/>
  </r>
  <r>
    <x v="243"/>
    <x v="51"/>
    <x v="0"/>
    <n v="38"/>
    <x v="3"/>
    <x v="3"/>
    <n v="57321"/>
    <n v="23"/>
    <x v="239"/>
    <x v="2"/>
    <x v="1"/>
  </r>
  <r>
    <x v="244"/>
    <x v="77"/>
    <x v="1"/>
    <n v="47"/>
    <x v="5"/>
    <x v="5"/>
    <n v="68544"/>
    <n v="26"/>
    <x v="240"/>
    <x v="4"/>
    <x v="1"/>
  </r>
  <r>
    <x v="245"/>
    <x v="26"/>
    <x v="0"/>
    <n v="42"/>
    <x v="0"/>
    <x v="0"/>
    <n v="104064"/>
    <n v="30"/>
    <x v="241"/>
    <x v="2"/>
    <x v="1"/>
  </r>
  <r>
    <x v="246"/>
    <x v="23"/>
    <x v="1"/>
    <n v="42"/>
    <x v="3"/>
    <x v="3"/>
    <n v="74290"/>
    <n v="8"/>
    <x v="242"/>
    <x v="0"/>
    <x v="0"/>
  </r>
  <r>
    <x v="247"/>
    <x v="28"/>
    <x v="1"/>
    <n v="51"/>
    <x v="1"/>
    <x v="1"/>
    <n v="117847"/>
    <n v="6"/>
    <x v="243"/>
    <x v="1"/>
    <x v="0"/>
  </r>
  <r>
    <x v="248"/>
    <x v="16"/>
    <x v="0"/>
    <n v="37"/>
    <x v="4"/>
    <x v="4"/>
    <n v="58119"/>
    <n v="21"/>
    <x v="244"/>
    <x v="3"/>
    <x v="1"/>
  </r>
  <r>
    <x v="249"/>
    <x v="2"/>
    <x v="0"/>
    <n v="47"/>
    <x v="5"/>
    <x v="5"/>
    <n v="95040"/>
    <n v="16"/>
    <x v="245"/>
    <x v="3"/>
    <x v="1"/>
  </r>
  <r>
    <x v="250"/>
    <x v="85"/>
    <x v="1"/>
    <n v="28"/>
    <x v="0"/>
    <x v="0"/>
    <n v="57536"/>
    <n v="21"/>
    <x v="246"/>
    <x v="0"/>
    <x v="0"/>
  </r>
  <r>
    <x v="251"/>
    <x v="18"/>
    <x v="0"/>
    <n v="28"/>
    <x v="1"/>
    <x v="1"/>
    <n v="26382"/>
    <n v="3"/>
    <x v="247"/>
    <x v="1"/>
    <x v="0"/>
  </r>
  <r>
    <x v="252"/>
    <x v="86"/>
    <x v="0"/>
    <n v="54"/>
    <x v="4"/>
    <x v="4"/>
    <n v="44758"/>
    <n v="11"/>
    <x v="248"/>
    <x v="4"/>
    <x v="1"/>
  </r>
  <r>
    <x v="253"/>
    <x v="54"/>
    <x v="0"/>
    <n v="41"/>
    <x v="5"/>
    <x v="5"/>
    <n v="69966"/>
    <n v="14"/>
    <x v="249"/>
    <x v="4"/>
    <x v="1"/>
  </r>
  <r>
    <x v="254"/>
    <x v="36"/>
    <x v="0"/>
    <n v="26"/>
    <x v="5"/>
    <x v="5"/>
    <n v="64356"/>
    <n v="1"/>
    <x v="250"/>
    <x v="4"/>
    <x v="0"/>
  </r>
  <r>
    <x v="255"/>
    <x v="81"/>
    <x v="1"/>
    <n v="32"/>
    <x v="0"/>
    <x v="0"/>
    <n v="68383"/>
    <n v="17"/>
    <x v="251"/>
    <x v="3"/>
    <x v="1"/>
  </r>
  <r>
    <x v="256"/>
    <x v="81"/>
    <x v="0"/>
    <n v="47"/>
    <x v="0"/>
    <x v="0"/>
    <n v="28826"/>
    <n v="23"/>
    <x v="252"/>
    <x v="6"/>
    <x v="1"/>
  </r>
  <r>
    <x v="257"/>
    <x v="65"/>
    <x v="0"/>
    <n v="26"/>
    <x v="5"/>
    <x v="5"/>
    <n v="100674"/>
    <n v="3"/>
    <x v="253"/>
    <x v="2"/>
    <x v="1"/>
  </r>
  <r>
    <x v="258"/>
    <x v="87"/>
    <x v="0"/>
    <n v="46"/>
    <x v="5"/>
    <x v="5"/>
    <n v="105125"/>
    <n v="12"/>
    <x v="254"/>
    <x v="3"/>
    <x v="1"/>
  </r>
  <r>
    <x v="259"/>
    <x v="69"/>
    <x v="1"/>
    <n v="30"/>
    <x v="1"/>
    <x v="1"/>
    <n v="66049"/>
    <n v="3"/>
    <x v="255"/>
    <x v="2"/>
    <x v="1"/>
  </r>
  <r>
    <x v="260"/>
    <x v="62"/>
    <x v="0"/>
    <n v="48"/>
    <x v="0"/>
    <x v="0"/>
    <n v="103174"/>
    <n v="4"/>
    <x v="256"/>
    <x v="6"/>
    <x v="0"/>
  </r>
  <r>
    <x v="261"/>
    <x v="9"/>
    <x v="0"/>
    <n v="30"/>
    <x v="1"/>
    <x v="1"/>
    <n v="49523"/>
    <n v="10"/>
    <x v="257"/>
    <x v="3"/>
    <x v="1"/>
  </r>
  <r>
    <x v="262"/>
    <x v="16"/>
    <x v="1"/>
    <n v="46"/>
    <x v="5"/>
    <x v="5"/>
    <n v="98607"/>
    <n v="16"/>
    <x v="258"/>
    <x v="6"/>
    <x v="1"/>
  </r>
  <r>
    <x v="263"/>
    <x v="36"/>
    <x v="1"/>
    <n v="27"/>
    <x v="0"/>
    <x v="0"/>
    <n v="99107"/>
    <n v="0"/>
    <x v="259"/>
    <x v="4"/>
    <x v="0"/>
  </r>
  <r>
    <x v="264"/>
    <x v="88"/>
    <x v="0"/>
    <n v="53"/>
    <x v="1"/>
    <x v="1"/>
    <n v="97053"/>
    <n v="16"/>
    <x v="260"/>
    <x v="4"/>
    <x v="1"/>
  </r>
  <r>
    <x v="265"/>
    <x v="79"/>
    <x v="1"/>
    <n v="49"/>
    <x v="1"/>
    <x v="1"/>
    <n v="38423"/>
    <n v="23"/>
    <x v="261"/>
    <x v="5"/>
    <x v="1"/>
  </r>
  <r>
    <x v="266"/>
    <x v="24"/>
    <x v="0"/>
    <n v="29"/>
    <x v="3"/>
    <x v="3"/>
    <n v="56056"/>
    <n v="6"/>
    <x v="262"/>
    <x v="1"/>
    <x v="1"/>
  </r>
  <r>
    <x v="267"/>
    <x v="26"/>
    <x v="1"/>
    <n v="35"/>
    <x v="2"/>
    <x v="2"/>
    <n v="32780"/>
    <n v="18"/>
    <x v="263"/>
    <x v="0"/>
    <x v="0"/>
  </r>
  <r>
    <x v="268"/>
    <x v="60"/>
    <x v="0"/>
    <n v="54"/>
    <x v="3"/>
    <x v="3"/>
    <n v="114037"/>
    <n v="26"/>
    <x v="264"/>
    <x v="3"/>
    <x v="1"/>
  </r>
  <r>
    <x v="269"/>
    <x v="39"/>
    <x v="1"/>
    <n v="37"/>
    <x v="5"/>
    <x v="5"/>
    <n v="44168"/>
    <n v="22"/>
    <x v="265"/>
    <x v="3"/>
    <x v="1"/>
  </r>
  <r>
    <x v="270"/>
    <x v="62"/>
    <x v="0"/>
    <n v="48"/>
    <x v="4"/>
    <x v="4"/>
    <n v="74174"/>
    <n v="14"/>
    <x v="266"/>
    <x v="3"/>
    <x v="0"/>
  </r>
  <r>
    <x v="271"/>
    <x v="44"/>
    <x v="0"/>
    <n v="51"/>
    <x v="4"/>
    <x v="4"/>
    <n v="88968"/>
    <n v="10"/>
    <x v="267"/>
    <x v="1"/>
    <x v="1"/>
  </r>
  <r>
    <x v="272"/>
    <x v="24"/>
    <x v="0"/>
    <n v="35"/>
    <x v="0"/>
    <x v="0"/>
    <n v="81314"/>
    <n v="26"/>
    <x v="268"/>
    <x v="4"/>
    <x v="1"/>
  </r>
  <r>
    <x v="273"/>
    <x v="85"/>
    <x v="1"/>
    <n v="53"/>
    <x v="3"/>
    <x v="3"/>
    <n v="70054"/>
    <n v="28"/>
    <x v="269"/>
    <x v="1"/>
    <x v="1"/>
  </r>
  <r>
    <x v="274"/>
    <x v="54"/>
    <x v="0"/>
    <n v="51"/>
    <x v="5"/>
    <x v="5"/>
    <n v="25088"/>
    <n v="30"/>
    <x v="270"/>
    <x v="2"/>
    <x v="1"/>
  </r>
  <r>
    <x v="275"/>
    <x v="33"/>
    <x v="0"/>
    <n v="38"/>
    <x v="2"/>
    <x v="2"/>
    <n v="35803"/>
    <n v="11"/>
    <x v="271"/>
    <x v="1"/>
    <x v="1"/>
  </r>
  <r>
    <x v="276"/>
    <x v="73"/>
    <x v="1"/>
    <n v="28"/>
    <x v="0"/>
    <x v="0"/>
    <n v="25142"/>
    <n v="6"/>
    <x v="272"/>
    <x v="0"/>
    <x v="0"/>
  </r>
  <r>
    <x v="277"/>
    <x v="53"/>
    <x v="1"/>
    <n v="43"/>
    <x v="1"/>
    <x v="1"/>
    <n v="40806"/>
    <n v="27"/>
    <x v="273"/>
    <x v="6"/>
    <x v="0"/>
  </r>
  <r>
    <x v="278"/>
    <x v="89"/>
    <x v="1"/>
    <n v="28"/>
    <x v="2"/>
    <x v="2"/>
    <n v="66071"/>
    <n v="11"/>
    <x v="274"/>
    <x v="3"/>
    <x v="0"/>
  </r>
  <r>
    <x v="279"/>
    <x v="57"/>
    <x v="1"/>
    <n v="32"/>
    <x v="0"/>
    <x v="0"/>
    <n v="82684"/>
    <n v="11"/>
    <x v="102"/>
    <x v="2"/>
    <x v="1"/>
  </r>
  <r>
    <x v="280"/>
    <x v="45"/>
    <x v="1"/>
    <n v="28"/>
    <x v="1"/>
    <x v="1"/>
    <n v="43351"/>
    <n v="24"/>
    <x v="275"/>
    <x v="6"/>
    <x v="1"/>
  </r>
  <r>
    <x v="281"/>
    <x v="70"/>
    <x v="1"/>
    <n v="39"/>
    <x v="4"/>
    <x v="4"/>
    <n v="109491"/>
    <n v="2"/>
    <x v="276"/>
    <x v="0"/>
    <x v="1"/>
  </r>
  <r>
    <x v="282"/>
    <x v="84"/>
    <x v="1"/>
    <n v="55"/>
    <x v="0"/>
    <x v="0"/>
    <n v="104551"/>
    <n v="16"/>
    <x v="277"/>
    <x v="4"/>
    <x v="0"/>
  </r>
  <r>
    <x v="283"/>
    <x v="7"/>
    <x v="1"/>
    <n v="37"/>
    <x v="2"/>
    <x v="2"/>
    <n v="90481"/>
    <n v="20"/>
    <x v="278"/>
    <x v="4"/>
    <x v="1"/>
  </r>
  <r>
    <x v="284"/>
    <x v="52"/>
    <x v="0"/>
    <n v="45"/>
    <x v="2"/>
    <x v="2"/>
    <n v="96612"/>
    <n v="21"/>
    <x v="279"/>
    <x v="5"/>
    <x v="0"/>
  </r>
  <r>
    <x v="285"/>
    <x v="12"/>
    <x v="0"/>
    <n v="35"/>
    <x v="1"/>
    <x v="1"/>
    <n v="30220"/>
    <n v="29"/>
    <x v="147"/>
    <x v="4"/>
    <x v="1"/>
  </r>
  <r>
    <x v="286"/>
    <x v="89"/>
    <x v="1"/>
    <n v="39"/>
    <x v="4"/>
    <x v="4"/>
    <n v="35957"/>
    <n v="9"/>
    <x v="280"/>
    <x v="3"/>
    <x v="0"/>
  </r>
  <r>
    <x v="287"/>
    <x v="30"/>
    <x v="1"/>
    <n v="41"/>
    <x v="1"/>
    <x v="1"/>
    <n v="116576"/>
    <n v="13"/>
    <x v="281"/>
    <x v="5"/>
    <x v="1"/>
  </r>
  <r>
    <x v="288"/>
    <x v="2"/>
    <x v="1"/>
    <n v="41"/>
    <x v="5"/>
    <x v="5"/>
    <n v="112304"/>
    <n v="23"/>
    <x v="282"/>
    <x v="1"/>
    <x v="0"/>
  </r>
  <r>
    <x v="289"/>
    <x v="90"/>
    <x v="0"/>
    <n v="44"/>
    <x v="0"/>
    <x v="0"/>
    <n v="93551"/>
    <n v="16"/>
    <x v="283"/>
    <x v="2"/>
    <x v="1"/>
  </r>
  <r>
    <x v="290"/>
    <x v="0"/>
    <x v="0"/>
    <n v="49"/>
    <x v="0"/>
    <x v="0"/>
    <n v="60649"/>
    <n v="16"/>
    <x v="284"/>
    <x v="0"/>
    <x v="0"/>
  </r>
  <r>
    <x v="291"/>
    <x v="2"/>
    <x v="0"/>
    <n v="25"/>
    <x v="4"/>
    <x v="4"/>
    <n v="90484"/>
    <n v="27"/>
    <x v="285"/>
    <x v="4"/>
    <x v="0"/>
  </r>
  <r>
    <x v="292"/>
    <x v="54"/>
    <x v="1"/>
    <n v="24"/>
    <x v="1"/>
    <x v="1"/>
    <n v="26610"/>
    <n v="7"/>
    <x v="286"/>
    <x v="6"/>
    <x v="0"/>
  </r>
  <r>
    <x v="293"/>
    <x v="68"/>
    <x v="0"/>
    <n v="36"/>
    <x v="2"/>
    <x v="2"/>
    <n v="67179"/>
    <n v="7"/>
    <x v="287"/>
    <x v="4"/>
    <x v="0"/>
  </r>
  <r>
    <x v="294"/>
    <x v="24"/>
    <x v="1"/>
    <n v="33"/>
    <x v="1"/>
    <x v="1"/>
    <n v="54253"/>
    <n v="25"/>
    <x v="288"/>
    <x v="6"/>
    <x v="1"/>
  </r>
  <r>
    <x v="295"/>
    <x v="6"/>
    <x v="0"/>
    <n v="22"/>
    <x v="3"/>
    <x v="3"/>
    <n v="73354"/>
    <n v="6"/>
    <x v="289"/>
    <x v="4"/>
    <x v="0"/>
  </r>
  <r>
    <x v="296"/>
    <x v="91"/>
    <x v="0"/>
    <n v="34"/>
    <x v="4"/>
    <x v="4"/>
    <n v="96638"/>
    <n v="24"/>
    <x v="290"/>
    <x v="6"/>
    <x v="0"/>
  </r>
  <r>
    <x v="297"/>
    <x v="25"/>
    <x v="1"/>
    <n v="43"/>
    <x v="2"/>
    <x v="2"/>
    <n v="25191"/>
    <n v="24"/>
    <x v="291"/>
    <x v="4"/>
    <x v="0"/>
  </r>
  <r>
    <x v="298"/>
    <x v="92"/>
    <x v="0"/>
    <n v="53"/>
    <x v="2"/>
    <x v="2"/>
    <n v="32850"/>
    <n v="4"/>
    <x v="150"/>
    <x v="2"/>
    <x v="1"/>
  </r>
  <r>
    <x v="299"/>
    <x v="86"/>
    <x v="1"/>
    <n v="28"/>
    <x v="0"/>
    <x v="0"/>
    <n v="91247"/>
    <n v="4"/>
    <x v="292"/>
    <x v="0"/>
    <x v="0"/>
  </r>
  <r>
    <x v="300"/>
    <x v="71"/>
    <x v="0"/>
    <n v="38"/>
    <x v="4"/>
    <x v="4"/>
    <n v="66288"/>
    <n v="29"/>
    <x v="293"/>
    <x v="1"/>
    <x v="1"/>
  </r>
  <r>
    <x v="301"/>
    <x v="20"/>
    <x v="1"/>
    <n v="26"/>
    <x v="3"/>
    <x v="3"/>
    <n v="51569"/>
    <n v="4"/>
    <x v="294"/>
    <x v="2"/>
    <x v="1"/>
  </r>
  <r>
    <x v="302"/>
    <x v="30"/>
    <x v="1"/>
    <n v="44"/>
    <x v="4"/>
    <x v="4"/>
    <n v="52215"/>
    <n v="14"/>
    <x v="295"/>
    <x v="3"/>
    <x v="0"/>
  </r>
  <r>
    <x v="303"/>
    <x v="69"/>
    <x v="1"/>
    <n v="35"/>
    <x v="5"/>
    <x v="5"/>
    <n v="67964"/>
    <n v="4"/>
    <x v="296"/>
    <x v="4"/>
    <x v="1"/>
  </r>
  <r>
    <x v="304"/>
    <x v="76"/>
    <x v="0"/>
    <n v="33"/>
    <x v="1"/>
    <x v="1"/>
    <n v="29073"/>
    <n v="30"/>
    <x v="297"/>
    <x v="1"/>
    <x v="0"/>
  </r>
  <r>
    <x v="305"/>
    <x v="53"/>
    <x v="1"/>
    <n v="29"/>
    <x v="5"/>
    <x v="5"/>
    <n v="26567"/>
    <n v="1"/>
    <x v="298"/>
    <x v="3"/>
    <x v="1"/>
  </r>
  <r>
    <x v="306"/>
    <x v="49"/>
    <x v="0"/>
    <n v="26"/>
    <x v="3"/>
    <x v="3"/>
    <n v="27857"/>
    <n v="2"/>
    <x v="299"/>
    <x v="3"/>
    <x v="0"/>
  </r>
  <r>
    <x v="307"/>
    <x v="6"/>
    <x v="1"/>
    <n v="51"/>
    <x v="5"/>
    <x v="5"/>
    <n v="31637"/>
    <n v="5"/>
    <x v="300"/>
    <x v="6"/>
    <x v="0"/>
  </r>
  <r>
    <x v="308"/>
    <x v="38"/>
    <x v="0"/>
    <n v="35"/>
    <x v="4"/>
    <x v="4"/>
    <n v="49530"/>
    <n v="8"/>
    <x v="301"/>
    <x v="5"/>
    <x v="0"/>
  </r>
  <r>
    <x v="309"/>
    <x v="23"/>
    <x v="0"/>
    <n v="52"/>
    <x v="0"/>
    <x v="0"/>
    <n v="32992"/>
    <n v="2"/>
    <x v="302"/>
    <x v="6"/>
    <x v="0"/>
  </r>
  <r>
    <x v="310"/>
    <x v="92"/>
    <x v="1"/>
    <n v="46"/>
    <x v="0"/>
    <x v="0"/>
    <n v="118502"/>
    <n v="11"/>
    <x v="303"/>
    <x v="6"/>
    <x v="1"/>
  </r>
  <r>
    <x v="311"/>
    <x v="44"/>
    <x v="0"/>
    <n v="39"/>
    <x v="1"/>
    <x v="1"/>
    <n v="48568"/>
    <n v="0"/>
    <x v="104"/>
    <x v="5"/>
    <x v="1"/>
  </r>
  <r>
    <x v="312"/>
    <x v="93"/>
    <x v="0"/>
    <n v="36"/>
    <x v="5"/>
    <x v="5"/>
    <n v="45922"/>
    <n v="3"/>
    <x v="304"/>
    <x v="4"/>
    <x v="0"/>
  </r>
  <r>
    <x v="313"/>
    <x v="8"/>
    <x v="0"/>
    <n v="33"/>
    <x v="2"/>
    <x v="2"/>
    <n v="48081"/>
    <n v="7"/>
    <x v="305"/>
    <x v="4"/>
    <x v="0"/>
  </r>
  <r>
    <x v="314"/>
    <x v="91"/>
    <x v="1"/>
    <n v="34"/>
    <x v="0"/>
    <x v="0"/>
    <n v="89517"/>
    <n v="17"/>
    <x v="306"/>
    <x v="5"/>
    <x v="0"/>
  </r>
  <r>
    <x v="315"/>
    <x v="94"/>
    <x v="1"/>
    <n v="23"/>
    <x v="5"/>
    <x v="5"/>
    <n v="94002"/>
    <n v="15"/>
    <x v="307"/>
    <x v="2"/>
    <x v="0"/>
  </r>
  <r>
    <x v="316"/>
    <x v="69"/>
    <x v="1"/>
    <n v="23"/>
    <x v="3"/>
    <x v="3"/>
    <n v="44360"/>
    <n v="18"/>
    <x v="308"/>
    <x v="0"/>
    <x v="1"/>
  </r>
  <r>
    <x v="317"/>
    <x v="86"/>
    <x v="1"/>
    <n v="43"/>
    <x v="5"/>
    <x v="5"/>
    <n v="64552"/>
    <n v="10"/>
    <x v="309"/>
    <x v="6"/>
    <x v="1"/>
  </r>
  <r>
    <x v="318"/>
    <x v="70"/>
    <x v="0"/>
    <n v="36"/>
    <x v="0"/>
    <x v="0"/>
    <n v="112232"/>
    <n v="18"/>
    <x v="310"/>
    <x v="1"/>
    <x v="1"/>
  </r>
  <r>
    <x v="319"/>
    <x v="42"/>
    <x v="0"/>
    <n v="24"/>
    <x v="2"/>
    <x v="2"/>
    <n v="48865"/>
    <n v="19"/>
    <x v="104"/>
    <x v="1"/>
    <x v="0"/>
  </r>
  <r>
    <x v="320"/>
    <x v="77"/>
    <x v="1"/>
    <n v="37"/>
    <x v="4"/>
    <x v="4"/>
    <n v="70457"/>
    <n v="10"/>
    <x v="44"/>
    <x v="3"/>
    <x v="1"/>
  </r>
  <r>
    <x v="321"/>
    <x v="84"/>
    <x v="1"/>
    <n v="37"/>
    <x v="4"/>
    <x v="4"/>
    <n v="115855"/>
    <n v="2"/>
    <x v="311"/>
    <x v="5"/>
    <x v="0"/>
  </r>
  <r>
    <x v="322"/>
    <x v="41"/>
    <x v="0"/>
    <n v="32"/>
    <x v="5"/>
    <x v="5"/>
    <n v="79266"/>
    <n v="15"/>
    <x v="312"/>
    <x v="6"/>
    <x v="0"/>
  </r>
  <r>
    <x v="323"/>
    <x v="34"/>
    <x v="1"/>
    <n v="50"/>
    <x v="4"/>
    <x v="4"/>
    <n v="34661"/>
    <n v="25"/>
    <x v="313"/>
    <x v="4"/>
    <x v="1"/>
  </r>
  <r>
    <x v="324"/>
    <x v="32"/>
    <x v="1"/>
    <n v="46"/>
    <x v="5"/>
    <x v="5"/>
    <n v="46090"/>
    <n v="23"/>
    <x v="314"/>
    <x v="4"/>
    <x v="1"/>
  </r>
  <r>
    <x v="325"/>
    <x v="95"/>
    <x v="1"/>
    <n v="49"/>
    <x v="0"/>
    <x v="0"/>
    <n v="45591"/>
    <n v="1"/>
    <x v="315"/>
    <x v="2"/>
    <x v="1"/>
  </r>
  <r>
    <x v="326"/>
    <x v="85"/>
    <x v="0"/>
    <n v="40"/>
    <x v="0"/>
    <x v="0"/>
    <n v="63980"/>
    <n v="7"/>
    <x v="316"/>
    <x v="0"/>
    <x v="1"/>
  </r>
  <r>
    <x v="327"/>
    <x v="76"/>
    <x v="1"/>
    <n v="49"/>
    <x v="2"/>
    <x v="2"/>
    <n v="36485"/>
    <n v="9"/>
    <x v="317"/>
    <x v="5"/>
    <x v="0"/>
  </r>
  <r>
    <x v="328"/>
    <x v="46"/>
    <x v="0"/>
    <n v="29"/>
    <x v="2"/>
    <x v="2"/>
    <n v="65416"/>
    <n v="25"/>
    <x v="318"/>
    <x v="1"/>
    <x v="1"/>
  </r>
  <r>
    <x v="329"/>
    <x v="58"/>
    <x v="1"/>
    <n v="45"/>
    <x v="5"/>
    <x v="5"/>
    <n v="74996"/>
    <n v="11"/>
    <x v="319"/>
    <x v="4"/>
    <x v="1"/>
  </r>
  <r>
    <x v="330"/>
    <x v="39"/>
    <x v="0"/>
    <n v="25"/>
    <x v="4"/>
    <x v="4"/>
    <n v="44808"/>
    <n v="24"/>
    <x v="320"/>
    <x v="4"/>
    <x v="1"/>
  </r>
  <r>
    <x v="331"/>
    <x v="94"/>
    <x v="1"/>
    <n v="46"/>
    <x v="1"/>
    <x v="1"/>
    <n v="93495"/>
    <n v="13"/>
    <x v="321"/>
    <x v="6"/>
    <x v="1"/>
  </r>
  <r>
    <x v="332"/>
    <x v="89"/>
    <x v="1"/>
    <n v="29"/>
    <x v="5"/>
    <x v="5"/>
    <n v="83856"/>
    <n v="5"/>
    <x v="322"/>
    <x v="2"/>
    <x v="0"/>
  </r>
  <r>
    <x v="333"/>
    <x v="1"/>
    <x v="0"/>
    <n v="34"/>
    <x v="5"/>
    <x v="5"/>
    <n v="107211"/>
    <n v="4"/>
    <x v="100"/>
    <x v="3"/>
    <x v="0"/>
  </r>
  <r>
    <x v="334"/>
    <x v="52"/>
    <x v="0"/>
    <n v="42"/>
    <x v="5"/>
    <x v="5"/>
    <n v="61202"/>
    <n v="16"/>
    <x v="323"/>
    <x v="1"/>
    <x v="1"/>
  </r>
  <r>
    <x v="335"/>
    <x v="38"/>
    <x v="1"/>
    <n v="28"/>
    <x v="5"/>
    <x v="5"/>
    <n v="38845"/>
    <n v="18"/>
    <x v="324"/>
    <x v="0"/>
    <x v="1"/>
  </r>
  <r>
    <x v="336"/>
    <x v="87"/>
    <x v="0"/>
    <n v="52"/>
    <x v="4"/>
    <x v="4"/>
    <n v="29910"/>
    <n v="5"/>
    <x v="302"/>
    <x v="0"/>
    <x v="1"/>
  </r>
  <r>
    <x v="337"/>
    <x v="18"/>
    <x v="1"/>
    <n v="25"/>
    <x v="5"/>
    <x v="5"/>
    <n v="87287"/>
    <n v="29"/>
    <x v="325"/>
    <x v="4"/>
    <x v="1"/>
  </r>
  <r>
    <x v="338"/>
    <x v="87"/>
    <x v="1"/>
    <n v="36"/>
    <x v="3"/>
    <x v="3"/>
    <n v="42614"/>
    <n v="9"/>
    <x v="326"/>
    <x v="1"/>
    <x v="1"/>
  </r>
  <r>
    <x v="339"/>
    <x v="75"/>
    <x v="0"/>
    <n v="35"/>
    <x v="1"/>
    <x v="1"/>
    <n v="78368"/>
    <n v="23"/>
    <x v="327"/>
    <x v="4"/>
    <x v="0"/>
  </r>
  <r>
    <x v="340"/>
    <x v="42"/>
    <x v="0"/>
    <n v="54"/>
    <x v="1"/>
    <x v="1"/>
    <n v="77872"/>
    <n v="4"/>
    <x v="328"/>
    <x v="3"/>
    <x v="0"/>
  </r>
  <r>
    <x v="341"/>
    <x v="15"/>
    <x v="0"/>
    <n v="25"/>
    <x v="5"/>
    <x v="5"/>
    <n v="72235"/>
    <n v="22"/>
    <x v="329"/>
    <x v="3"/>
    <x v="1"/>
  </r>
  <r>
    <x v="342"/>
    <x v="89"/>
    <x v="1"/>
    <n v="37"/>
    <x v="1"/>
    <x v="1"/>
    <n v="73819"/>
    <n v="15"/>
    <x v="330"/>
    <x v="6"/>
    <x v="1"/>
  </r>
  <r>
    <x v="343"/>
    <x v="69"/>
    <x v="1"/>
    <n v="40"/>
    <x v="3"/>
    <x v="3"/>
    <n v="28597"/>
    <n v="12"/>
    <x v="331"/>
    <x v="0"/>
    <x v="0"/>
  </r>
  <r>
    <x v="344"/>
    <x v="74"/>
    <x v="0"/>
    <n v="48"/>
    <x v="2"/>
    <x v="2"/>
    <n v="92276"/>
    <n v="0"/>
    <x v="204"/>
    <x v="1"/>
    <x v="0"/>
  </r>
  <r>
    <x v="345"/>
    <x v="90"/>
    <x v="0"/>
    <n v="41"/>
    <x v="1"/>
    <x v="1"/>
    <n v="118420"/>
    <n v="30"/>
    <x v="332"/>
    <x v="3"/>
    <x v="1"/>
  </r>
  <r>
    <x v="346"/>
    <x v="39"/>
    <x v="0"/>
    <n v="41"/>
    <x v="4"/>
    <x v="4"/>
    <n v="113761"/>
    <n v="16"/>
    <x v="333"/>
    <x v="5"/>
    <x v="1"/>
  </r>
  <r>
    <x v="347"/>
    <x v="80"/>
    <x v="0"/>
    <n v="41"/>
    <x v="1"/>
    <x v="1"/>
    <n v="114707"/>
    <n v="3"/>
    <x v="81"/>
    <x v="4"/>
    <x v="1"/>
  </r>
  <r>
    <x v="348"/>
    <x v="40"/>
    <x v="1"/>
    <n v="31"/>
    <x v="3"/>
    <x v="3"/>
    <n v="92802"/>
    <n v="24"/>
    <x v="334"/>
    <x v="3"/>
    <x v="1"/>
  </r>
  <r>
    <x v="349"/>
    <x v="70"/>
    <x v="1"/>
    <n v="53"/>
    <x v="0"/>
    <x v="0"/>
    <n v="63745"/>
    <n v="8"/>
    <x v="335"/>
    <x v="1"/>
    <x v="0"/>
  </r>
  <r>
    <x v="350"/>
    <x v="34"/>
    <x v="0"/>
    <n v="36"/>
    <x v="1"/>
    <x v="1"/>
    <n v="114957"/>
    <n v="17"/>
    <x v="336"/>
    <x v="0"/>
    <x v="1"/>
  </r>
  <r>
    <x v="351"/>
    <x v="28"/>
    <x v="0"/>
    <n v="28"/>
    <x v="2"/>
    <x v="2"/>
    <n v="86706"/>
    <n v="4"/>
    <x v="337"/>
    <x v="0"/>
    <x v="0"/>
  </r>
  <r>
    <x v="352"/>
    <x v="6"/>
    <x v="1"/>
    <n v="44"/>
    <x v="0"/>
    <x v="0"/>
    <n v="54272"/>
    <n v="23"/>
    <x v="338"/>
    <x v="4"/>
    <x v="1"/>
  </r>
  <r>
    <x v="353"/>
    <x v="35"/>
    <x v="0"/>
    <n v="29"/>
    <x v="3"/>
    <x v="3"/>
    <n v="86674"/>
    <n v="1"/>
    <x v="339"/>
    <x v="0"/>
    <x v="0"/>
  </r>
  <r>
    <x v="354"/>
    <x v="52"/>
    <x v="0"/>
    <n v="48"/>
    <x v="0"/>
    <x v="0"/>
    <n v="32086"/>
    <n v="27"/>
    <x v="340"/>
    <x v="4"/>
    <x v="1"/>
  </r>
  <r>
    <x v="355"/>
    <x v="45"/>
    <x v="0"/>
    <n v="33"/>
    <x v="1"/>
    <x v="1"/>
    <n v="35592"/>
    <n v="15"/>
    <x v="341"/>
    <x v="4"/>
    <x v="0"/>
  </r>
  <r>
    <x v="356"/>
    <x v="20"/>
    <x v="1"/>
    <n v="32"/>
    <x v="5"/>
    <x v="5"/>
    <n v="100534"/>
    <n v="24"/>
    <x v="342"/>
    <x v="3"/>
    <x v="0"/>
  </r>
  <r>
    <x v="357"/>
    <x v="72"/>
    <x v="0"/>
    <n v="47"/>
    <x v="2"/>
    <x v="2"/>
    <n v="81233"/>
    <n v="30"/>
    <x v="343"/>
    <x v="5"/>
    <x v="0"/>
  </r>
  <r>
    <x v="358"/>
    <x v="24"/>
    <x v="0"/>
    <n v="55"/>
    <x v="0"/>
    <x v="0"/>
    <n v="49979"/>
    <n v="0"/>
    <x v="344"/>
    <x v="2"/>
    <x v="0"/>
  </r>
  <r>
    <x v="359"/>
    <x v="59"/>
    <x v="1"/>
    <n v="28"/>
    <x v="0"/>
    <x v="0"/>
    <n v="75272"/>
    <n v="16"/>
    <x v="345"/>
    <x v="3"/>
    <x v="0"/>
  </r>
  <r>
    <x v="360"/>
    <x v="23"/>
    <x v="0"/>
    <n v="49"/>
    <x v="3"/>
    <x v="3"/>
    <n v="115017"/>
    <n v="4"/>
    <x v="346"/>
    <x v="3"/>
    <x v="0"/>
  </r>
  <r>
    <x v="361"/>
    <x v="89"/>
    <x v="1"/>
    <n v="36"/>
    <x v="2"/>
    <x v="2"/>
    <n v="42197"/>
    <n v="6"/>
    <x v="347"/>
    <x v="2"/>
    <x v="0"/>
  </r>
  <r>
    <x v="362"/>
    <x v="79"/>
    <x v="0"/>
    <n v="25"/>
    <x v="3"/>
    <x v="3"/>
    <n v="102846"/>
    <n v="1"/>
    <x v="348"/>
    <x v="5"/>
    <x v="0"/>
  </r>
  <r>
    <x v="363"/>
    <x v="63"/>
    <x v="0"/>
    <n v="46"/>
    <x v="0"/>
    <x v="0"/>
    <n v="41199"/>
    <n v="17"/>
    <x v="83"/>
    <x v="2"/>
    <x v="0"/>
  </r>
  <r>
    <x v="364"/>
    <x v="84"/>
    <x v="0"/>
    <n v="28"/>
    <x v="0"/>
    <x v="0"/>
    <n v="111832"/>
    <n v="16"/>
    <x v="195"/>
    <x v="1"/>
    <x v="0"/>
  </r>
  <r>
    <x v="365"/>
    <x v="10"/>
    <x v="1"/>
    <n v="40"/>
    <x v="4"/>
    <x v="4"/>
    <n v="39943"/>
    <n v="25"/>
    <x v="339"/>
    <x v="0"/>
    <x v="0"/>
  </r>
  <r>
    <x v="366"/>
    <x v="92"/>
    <x v="0"/>
    <n v="48"/>
    <x v="3"/>
    <x v="3"/>
    <n v="63712"/>
    <n v="5"/>
    <x v="349"/>
    <x v="2"/>
    <x v="1"/>
  </r>
  <r>
    <x v="367"/>
    <x v="15"/>
    <x v="1"/>
    <n v="27"/>
    <x v="3"/>
    <x v="3"/>
    <n v="39474"/>
    <n v="26"/>
    <x v="350"/>
    <x v="3"/>
    <x v="0"/>
  </r>
  <r>
    <x v="368"/>
    <x v="29"/>
    <x v="1"/>
    <n v="51"/>
    <x v="0"/>
    <x v="0"/>
    <n v="63800"/>
    <n v="8"/>
    <x v="351"/>
    <x v="3"/>
    <x v="0"/>
  </r>
  <r>
    <x v="369"/>
    <x v="60"/>
    <x v="0"/>
    <n v="49"/>
    <x v="5"/>
    <x v="5"/>
    <n v="40191"/>
    <n v="3"/>
    <x v="352"/>
    <x v="2"/>
    <x v="0"/>
  </r>
  <r>
    <x v="370"/>
    <x v="86"/>
    <x v="0"/>
    <n v="27"/>
    <x v="3"/>
    <x v="3"/>
    <n v="73840"/>
    <n v="26"/>
    <x v="353"/>
    <x v="6"/>
    <x v="1"/>
  </r>
  <r>
    <x v="371"/>
    <x v="87"/>
    <x v="0"/>
    <n v="48"/>
    <x v="4"/>
    <x v="4"/>
    <n v="110045"/>
    <n v="28"/>
    <x v="354"/>
    <x v="1"/>
    <x v="0"/>
  </r>
  <r>
    <x v="372"/>
    <x v="63"/>
    <x v="0"/>
    <n v="50"/>
    <x v="2"/>
    <x v="2"/>
    <n v="48758"/>
    <n v="19"/>
    <x v="355"/>
    <x v="5"/>
    <x v="0"/>
  </r>
  <r>
    <x v="373"/>
    <x v="51"/>
    <x v="0"/>
    <n v="50"/>
    <x v="4"/>
    <x v="4"/>
    <n v="31025"/>
    <n v="2"/>
    <x v="356"/>
    <x v="5"/>
    <x v="0"/>
  </r>
  <r>
    <x v="374"/>
    <x v="55"/>
    <x v="1"/>
    <n v="49"/>
    <x v="0"/>
    <x v="0"/>
    <n v="111732"/>
    <n v="23"/>
    <x v="357"/>
    <x v="1"/>
    <x v="1"/>
  </r>
  <r>
    <x v="375"/>
    <x v="85"/>
    <x v="1"/>
    <n v="22"/>
    <x v="2"/>
    <x v="2"/>
    <n v="109331"/>
    <n v="29"/>
    <x v="358"/>
    <x v="6"/>
    <x v="1"/>
  </r>
  <r>
    <x v="376"/>
    <x v="48"/>
    <x v="0"/>
    <n v="37"/>
    <x v="2"/>
    <x v="2"/>
    <n v="68371"/>
    <n v="8"/>
    <x v="359"/>
    <x v="0"/>
    <x v="1"/>
  </r>
  <r>
    <x v="377"/>
    <x v="15"/>
    <x v="0"/>
    <n v="50"/>
    <x v="4"/>
    <x v="4"/>
    <n v="100108"/>
    <n v="14"/>
    <x v="112"/>
    <x v="4"/>
    <x v="0"/>
  </r>
  <r>
    <x v="378"/>
    <x v="67"/>
    <x v="0"/>
    <n v="48"/>
    <x v="4"/>
    <x v="4"/>
    <n v="29696"/>
    <n v="17"/>
    <x v="360"/>
    <x v="0"/>
    <x v="1"/>
  </r>
  <r>
    <x v="379"/>
    <x v="28"/>
    <x v="0"/>
    <n v="43"/>
    <x v="1"/>
    <x v="1"/>
    <n v="72624"/>
    <n v="26"/>
    <x v="361"/>
    <x v="6"/>
    <x v="1"/>
  </r>
  <r>
    <x v="380"/>
    <x v="80"/>
    <x v="0"/>
    <n v="45"/>
    <x v="1"/>
    <x v="1"/>
    <n v="118836"/>
    <n v="14"/>
    <x v="362"/>
    <x v="1"/>
    <x v="0"/>
  </r>
  <r>
    <x v="381"/>
    <x v="96"/>
    <x v="0"/>
    <n v="55"/>
    <x v="5"/>
    <x v="5"/>
    <n v="74006"/>
    <n v="22"/>
    <x v="363"/>
    <x v="6"/>
    <x v="0"/>
  </r>
  <r>
    <x v="382"/>
    <x v="1"/>
    <x v="0"/>
    <n v="34"/>
    <x v="0"/>
    <x v="0"/>
    <n v="49581"/>
    <n v="3"/>
    <x v="364"/>
    <x v="3"/>
    <x v="0"/>
  </r>
  <r>
    <x v="383"/>
    <x v="6"/>
    <x v="0"/>
    <n v="24"/>
    <x v="0"/>
    <x v="0"/>
    <n v="108000"/>
    <n v="26"/>
    <x v="112"/>
    <x v="1"/>
    <x v="0"/>
  </r>
  <r>
    <x v="384"/>
    <x v="47"/>
    <x v="1"/>
    <n v="49"/>
    <x v="4"/>
    <x v="4"/>
    <n v="101692"/>
    <n v="15"/>
    <x v="365"/>
    <x v="2"/>
    <x v="0"/>
  </r>
  <r>
    <x v="385"/>
    <x v="52"/>
    <x v="0"/>
    <n v="54"/>
    <x v="5"/>
    <x v="5"/>
    <n v="75418"/>
    <n v="13"/>
    <x v="366"/>
    <x v="4"/>
    <x v="1"/>
  </r>
  <r>
    <x v="386"/>
    <x v="71"/>
    <x v="0"/>
    <n v="54"/>
    <x v="4"/>
    <x v="4"/>
    <n v="64179"/>
    <n v="26"/>
    <x v="367"/>
    <x v="0"/>
    <x v="0"/>
  </r>
  <r>
    <x v="387"/>
    <x v="64"/>
    <x v="0"/>
    <n v="44"/>
    <x v="2"/>
    <x v="2"/>
    <n v="113129"/>
    <n v="4"/>
    <x v="368"/>
    <x v="1"/>
    <x v="1"/>
  </r>
  <r>
    <x v="388"/>
    <x v="29"/>
    <x v="0"/>
    <n v="48"/>
    <x v="0"/>
    <x v="0"/>
    <n v="113374"/>
    <n v="23"/>
    <x v="338"/>
    <x v="5"/>
    <x v="0"/>
  </r>
  <r>
    <x v="389"/>
    <x v="97"/>
    <x v="1"/>
    <n v="25"/>
    <x v="5"/>
    <x v="5"/>
    <n v="51201"/>
    <n v="8"/>
    <x v="369"/>
    <x v="4"/>
    <x v="0"/>
  </r>
  <r>
    <x v="390"/>
    <x v="88"/>
    <x v="1"/>
    <n v="44"/>
    <x v="5"/>
    <x v="5"/>
    <n v="84322"/>
    <n v="3"/>
    <x v="370"/>
    <x v="0"/>
    <x v="1"/>
  </r>
  <r>
    <x v="391"/>
    <x v="44"/>
    <x v="1"/>
    <n v="46"/>
    <x v="2"/>
    <x v="2"/>
    <n v="75797"/>
    <n v="13"/>
    <x v="371"/>
    <x v="5"/>
    <x v="1"/>
  </r>
  <r>
    <x v="392"/>
    <x v="72"/>
    <x v="1"/>
    <n v="45"/>
    <x v="2"/>
    <x v="2"/>
    <n v="102120"/>
    <n v="17"/>
    <x v="372"/>
    <x v="4"/>
    <x v="1"/>
  </r>
  <r>
    <x v="393"/>
    <x v="75"/>
    <x v="1"/>
    <n v="54"/>
    <x v="2"/>
    <x v="2"/>
    <n v="40643"/>
    <n v="12"/>
    <x v="373"/>
    <x v="0"/>
    <x v="1"/>
  </r>
  <r>
    <x v="394"/>
    <x v="5"/>
    <x v="0"/>
    <n v="22"/>
    <x v="2"/>
    <x v="2"/>
    <n v="68327"/>
    <n v="14"/>
    <x v="374"/>
    <x v="4"/>
    <x v="0"/>
  </r>
  <r>
    <x v="395"/>
    <x v="61"/>
    <x v="0"/>
    <n v="44"/>
    <x v="0"/>
    <x v="0"/>
    <n v="34552"/>
    <n v="25"/>
    <x v="375"/>
    <x v="2"/>
    <x v="0"/>
  </r>
  <r>
    <x v="396"/>
    <x v="9"/>
    <x v="0"/>
    <n v="27"/>
    <x v="1"/>
    <x v="1"/>
    <n v="70796"/>
    <n v="7"/>
    <x v="376"/>
    <x v="4"/>
    <x v="1"/>
  </r>
  <r>
    <x v="397"/>
    <x v="64"/>
    <x v="0"/>
    <n v="22"/>
    <x v="3"/>
    <x v="3"/>
    <n v="40036"/>
    <n v="21"/>
    <x v="377"/>
    <x v="1"/>
    <x v="0"/>
  </r>
  <r>
    <x v="398"/>
    <x v="30"/>
    <x v="1"/>
    <n v="46"/>
    <x v="5"/>
    <x v="5"/>
    <n v="58631"/>
    <n v="17"/>
    <x v="378"/>
    <x v="3"/>
    <x v="1"/>
  </r>
  <r>
    <x v="399"/>
    <x v="14"/>
    <x v="0"/>
    <n v="24"/>
    <x v="1"/>
    <x v="1"/>
    <n v="63854"/>
    <n v="28"/>
    <x v="379"/>
    <x v="5"/>
    <x v="0"/>
  </r>
  <r>
    <x v="400"/>
    <x v="85"/>
    <x v="1"/>
    <n v="26"/>
    <x v="2"/>
    <x v="2"/>
    <n v="52627"/>
    <n v="21"/>
    <x v="380"/>
    <x v="3"/>
    <x v="0"/>
  </r>
  <r>
    <x v="401"/>
    <x v="58"/>
    <x v="1"/>
    <n v="31"/>
    <x v="2"/>
    <x v="2"/>
    <n v="28113"/>
    <n v="14"/>
    <x v="381"/>
    <x v="5"/>
    <x v="0"/>
  </r>
  <r>
    <x v="402"/>
    <x v="50"/>
    <x v="1"/>
    <n v="36"/>
    <x v="2"/>
    <x v="2"/>
    <n v="58901"/>
    <n v="13"/>
    <x v="382"/>
    <x v="6"/>
    <x v="1"/>
  </r>
  <r>
    <x v="403"/>
    <x v="95"/>
    <x v="1"/>
    <n v="22"/>
    <x v="3"/>
    <x v="3"/>
    <n v="109072"/>
    <n v="23"/>
    <x v="383"/>
    <x v="5"/>
    <x v="0"/>
  </r>
  <r>
    <x v="404"/>
    <x v="11"/>
    <x v="0"/>
    <n v="41"/>
    <x v="3"/>
    <x v="3"/>
    <n v="104503"/>
    <n v="2"/>
    <x v="384"/>
    <x v="6"/>
    <x v="0"/>
  </r>
  <r>
    <x v="405"/>
    <x v="5"/>
    <x v="1"/>
    <n v="30"/>
    <x v="4"/>
    <x v="4"/>
    <n v="76248"/>
    <n v="25"/>
    <x v="385"/>
    <x v="4"/>
    <x v="1"/>
  </r>
  <r>
    <x v="406"/>
    <x v="85"/>
    <x v="1"/>
    <n v="29"/>
    <x v="5"/>
    <x v="5"/>
    <n v="30475"/>
    <n v="0"/>
    <x v="386"/>
    <x v="5"/>
    <x v="1"/>
  </r>
  <r>
    <x v="407"/>
    <x v="4"/>
    <x v="0"/>
    <n v="54"/>
    <x v="2"/>
    <x v="2"/>
    <n v="43671"/>
    <n v="5"/>
    <x v="387"/>
    <x v="3"/>
    <x v="1"/>
  </r>
  <r>
    <x v="408"/>
    <x v="54"/>
    <x v="1"/>
    <n v="51"/>
    <x v="2"/>
    <x v="2"/>
    <n v="109498"/>
    <n v="17"/>
    <x v="388"/>
    <x v="5"/>
    <x v="1"/>
  </r>
  <r>
    <x v="409"/>
    <x v="64"/>
    <x v="0"/>
    <n v="43"/>
    <x v="5"/>
    <x v="5"/>
    <n v="71810"/>
    <n v="4"/>
    <x v="389"/>
    <x v="0"/>
    <x v="0"/>
  </r>
  <r>
    <x v="410"/>
    <x v="30"/>
    <x v="0"/>
    <n v="43"/>
    <x v="2"/>
    <x v="2"/>
    <n v="105785"/>
    <n v="21"/>
    <x v="390"/>
    <x v="2"/>
    <x v="1"/>
  </r>
  <r>
    <x v="411"/>
    <x v="38"/>
    <x v="1"/>
    <n v="42"/>
    <x v="3"/>
    <x v="3"/>
    <n v="57266"/>
    <n v="25"/>
    <x v="391"/>
    <x v="1"/>
    <x v="1"/>
  </r>
  <r>
    <x v="412"/>
    <x v="4"/>
    <x v="0"/>
    <n v="52"/>
    <x v="3"/>
    <x v="3"/>
    <n v="85666"/>
    <n v="14"/>
    <x v="392"/>
    <x v="0"/>
    <x v="0"/>
  </r>
  <r>
    <x v="413"/>
    <x v="21"/>
    <x v="0"/>
    <n v="30"/>
    <x v="2"/>
    <x v="2"/>
    <n v="95597"/>
    <n v="6"/>
    <x v="393"/>
    <x v="5"/>
    <x v="0"/>
  </r>
  <r>
    <x v="414"/>
    <x v="11"/>
    <x v="0"/>
    <n v="35"/>
    <x v="5"/>
    <x v="5"/>
    <n v="29804"/>
    <n v="17"/>
    <x v="394"/>
    <x v="6"/>
    <x v="0"/>
  </r>
  <r>
    <x v="415"/>
    <x v="97"/>
    <x v="0"/>
    <n v="30"/>
    <x v="3"/>
    <x v="3"/>
    <n v="85909"/>
    <n v="16"/>
    <x v="395"/>
    <x v="0"/>
    <x v="0"/>
  </r>
  <r>
    <x v="416"/>
    <x v="94"/>
    <x v="1"/>
    <n v="54"/>
    <x v="0"/>
    <x v="0"/>
    <n v="43398"/>
    <n v="14"/>
    <x v="121"/>
    <x v="0"/>
    <x v="0"/>
  </r>
  <r>
    <x v="417"/>
    <x v="98"/>
    <x v="1"/>
    <n v="36"/>
    <x v="0"/>
    <x v="0"/>
    <n v="88916"/>
    <n v="7"/>
    <x v="396"/>
    <x v="2"/>
    <x v="0"/>
  </r>
  <r>
    <x v="418"/>
    <x v="64"/>
    <x v="0"/>
    <n v="46"/>
    <x v="0"/>
    <x v="0"/>
    <n v="86561"/>
    <n v="29"/>
    <x v="397"/>
    <x v="1"/>
    <x v="1"/>
  </r>
  <r>
    <x v="419"/>
    <x v="44"/>
    <x v="0"/>
    <n v="33"/>
    <x v="5"/>
    <x v="5"/>
    <n v="74369"/>
    <n v="20"/>
    <x v="398"/>
    <x v="1"/>
    <x v="0"/>
  </r>
  <r>
    <x v="420"/>
    <x v="87"/>
    <x v="1"/>
    <n v="55"/>
    <x v="1"/>
    <x v="1"/>
    <n v="78194"/>
    <n v="11"/>
    <x v="165"/>
    <x v="6"/>
    <x v="0"/>
  </r>
  <r>
    <x v="421"/>
    <x v="82"/>
    <x v="1"/>
    <n v="36"/>
    <x v="1"/>
    <x v="1"/>
    <n v="35104"/>
    <n v="16"/>
    <x v="399"/>
    <x v="2"/>
    <x v="0"/>
  </r>
  <r>
    <x v="422"/>
    <x v="21"/>
    <x v="1"/>
    <n v="48"/>
    <x v="3"/>
    <x v="3"/>
    <n v="68283"/>
    <n v="23"/>
    <x v="400"/>
    <x v="6"/>
    <x v="1"/>
  </r>
  <r>
    <x v="423"/>
    <x v="34"/>
    <x v="0"/>
    <n v="23"/>
    <x v="2"/>
    <x v="2"/>
    <n v="56938"/>
    <n v="1"/>
    <x v="401"/>
    <x v="2"/>
    <x v="0"/>
  </r>
  <r>
    <x v="424"/>
    <x v="11"/>
    <x v="1"/>
    <n v="25"/>
    <x v="0"/>
    <x v="0"/>
    <n v="46802"/>
    <n v="8"/>
    <x v="402"/>
    <x v="0"/>
    <x v="0"/>
  </r>
  <r>
    <x v="425"/>
    <x v="46"/>
    <x v="1"/>
    <n v="50"/>
    <x v="0"/>
    <x v="0"/>
    <n v="104498"/>
    <n v="15"/>
    <x v="403"/>
    <x v="3"/>
    <x v="1"/>
  </r>
  <r>
    <x v="426"/>
    <x v="62"/>
    <x v="1"/>
    <n v="54"/>
    <x v="1"/>
    <x v="1"/>
    <n v="59671"/>
    <n v="5"/>
    <x v="404"/>
    <x v="0"/>
    <x v="0"/>
  </r>
  <r>
    <x v="427"/>
    <x v="41"/>
    <x v="1"/>
    <n v="28"/>
    <x v="2"/>
    <x v="2"/>
    <n v="27170"/>
    <n v="6"/>
    <x v="405"/>
    <x v="5"/>
    <x v="0"/>
  </r>
  <r>
    <x v="428"/>
    <x v="80"/>
    <x v="1"/>
    <n v="54"/>
    <x v="4"/>
    <x v="4"/>
    <n v="40403"/>
    <n v="2"/>
    <x v="406"/>
    <x v="0"/>
    <x v="0"/>
  </r>
  <r>
    <x v="429"/>
    <x v="27"/>
    <x v="0"/>
    <n v="45"/>
    <x v="0"/>
    <x v="0"/>
    <n v="30693"/>
    <n v="22"/>
    <x v="407"/>
    <x v="6"/>
    <x v="1"/>
  </r>
  <r>
    <x v="430"/>
    <x v="22"/>
    <x v="1"/>
    <n v="49"/>
    <x v="3"/>
    <x v="3"/>
    <n v="42548"/>
    <n v="8"/>
    <x v="408"/>
    <x v="5"/>
    <x v="1"/>
  </r>
  <r>
    <x v="431"/>
    <x v="58"/>
    <x v="0"/>
    <n v="34"/>
    <x v="1"/>
    <x v="1"/>
    <n v="25716"/>
    <n v="22"/>
    <x v="347"/>
    <x v="5"/>
    <x v="0"/>
  </r>
  <r>
    <x v="432"/>
    <x v="83"/>
    <x v="0"/>
    <n v="45"/>
    <x v="4"/>
    <x v="4"/>
    <n v="38970"/>
    <n v="4"/>
    <x v="409"/>
    <x v="4"/>
    <x v="1"/>
  </r>
  <r>
    <x v="433"/>
    <x v="27"/>
    <x v="0"/>
    <n v="39"/>
    <x v="1"/>
    <x v="1"/>
    <n v="114208"/>
    <n v="12"/>
    <x v="410"/>
    <x v="3"/>
    <x v="1"/>
  </r>
  <r>
    <x v="434"/>
    <x v="91"/>
    <x v="0"/>
    <n v="38"/>
    <x v="2"/>
    <x v="2"/>
    <n v="65193"/>
    <n v="18"/>
    <x v="411"/>
    <x v="1"/>
    <x v="0"/>
  </r>
  <r>
    <x v="435"/>
    <x v="54"/>
    <x v="0"/>
    <n v="32"/>
    <x v="0"/>
    <x v="0"/>
    <n v="38143"/>
    <n v="6"/>
    <x v="412"/>
    <x v="0"/>
    <x v="0"/>
  </r>
  <r>
    <x v="436"/>
    <x v="89"/>
    <x v="1"/>
    <n v="31"/>
    <x v="2"/>
    <x v="2"/>
    <n v="86822"/>
    <n v="29"/>
    <x v="413"/>
    <x v="4"/>
    <x v="0"/>
  </r>
  <r>
    <x v="437"/>
    <x v="49"/>
    <x v="1"/>
    <n v="46"/>
    <x v="3"/>
    <x v="3"/>
    <n v="77513"/>
    <n v="19"/>
    <x v="414"/>
    <x v="5"/>
    <x v="0"/>
  </r>
  <r>
    <x v="438"/>
    <x v="7"/>
    <x v="1"/>
    <n v="34"/>
    <x v="0"/>
    <x v="0"/>
    <n v="111099"/>
    <n v="29"/>
    <x v="24"/>
    <x v="3"/>
    <x v="0"/>
  </r>
  <r>
    <x v="439"/>
    <x v="42"/>
    <x v="0"/>
    <n v="37"/>
    <x v="1"/>
    <x v="1"/>
    <n v="110854"/>
    <n v="0"/>
    <x v="86"/>
    <x v="3"/>
    <x v="1"/>
  </r>
  <r>
    <x v="440"/>
    <x v="41"/>
    <x v="1"/>
    <n v="55"/>
    <x v="3"/>
    <x v="3"/>
    <n v="27014"/>
    <n v="23"/>
    <x v="28"/>
    <x v="4"/>
    <x v="1"/>
  </r>
  <r>
    <x v="441"/>
    <x v="39"/>
    <x v="1"/>
    <n v="51"/>
    <x v="3"/>
    <x v="3"/>
    <n v="77947"/>
    <n v="18"/>
    <x v="415"/>
    <x v="6"/>
    <x v="0"/>
  </r>
  <r>
    <x v="442"/>
    <x v="49"/>
    <x v="0"/>
    <n v="43"/>
    <x v="1"/>
    <x v="1"/>
    <n v="40336"/>
    <n v="25"/>
    <x v="416"/>
    <x v="3"/>
    <x v="1"/>
  </r>
  <r>
    <x v="443"/>
    <x v="36"/>
    <x v="0"/>
    <n v="37"/>
    <x v="0"/>
    <x v="0"/>
    <n v="69520"/>
    <n v="30"/>
    <x v="417"/>
    <x v="0"/>
    <x v="0"/>
  </r>
  <r>
    <x v="444"/>
    <x v="29"/>
    <x v="1"/>
    <n v="46"/>
    <x v="4"/>
    <x v="4"/>
    <n v="108055"/>
    <n v="25"/>
    <x v="418"/>
    <x v="2"/>
    <x v="1"/>
  </r>
  <r>
    <x v="445"/>
    <x v="91"/>
    <x v="1"/>
    <n v="38"/>
    <x v="4"/>
    <x v="4"/>
    <n v="57539"/>
    <n v="9"/>
    <x v="419"/>
    <x v="1"/>
    <x v="1"/>
  </r>
  <r>
    <x v="446"/>
    <x v="28"/>
    <x v="0"/>
    <n v="42"/>
    <x v="5"/>
    <x v="5"/>
    <n v="71338"/>
    <n v="6"/>
    <x v="420"/>
    <x v="1"/>
    <x v="0"/>
  </r>
  <r>
    <x v="447"/>
    <x v="65"/>
    <x v="1"/>
    <n v="38"/>
    <x v="4"/>
    <x v="4"/>
    <n v="52102"/>
    <n v="7"/>
    <x v="421"/>
    <x v="0"/>
    <x v="1"/>
  </r>
  <r>
    <x v="448"/>
    <x v="0"/>
    <x v="1"/>
    <n v="53"/>
    <x v="2"/>
    <x v="2"/>
    <n v="105455"/>
    <n v="0"/>
    <x v="286"/>
    <x v="0"/>
    <x v="1"/>
  </r>
  <r>
    <x v="449"/>
    <x v="35"/>
    <x v="0"/>
    <n v="33"/>
    <x v="4"/>
    <x v="4"/>
    <n v="91995"/>
    <n v="8"/>
    <x v="422"/>
    <x v="0"/>
    <x v="0"/>
  </r>
  <r>
    <x v="450"/>
    <x v="14"/>
    <x v="0"/>
    <n v="24"/>
    <x v="5"/>
    <x v="5"/>
    <n v="90860"/>
    <n v="11"/>
    <x v="423"/>
    <x v="2"/>
    <x v="1"/>
  </r>
  <r>
    <x v="451"/>
    <x v="14"/>
    <x v="0"/>
    <n v="22"/>
    <x v="5"/>
    <x v="5"/>
    <n v="26549"/>
    <n v="21"/>
    <x v="424"/>
    <x v="5"/>
    <x v="1"/>
  </r>
  <r>
    <x v="452"/>
    <x v="61"/>
    <x v="1"/>
    <n v="38"/>
    <x v="3"/>
    <x v="3"/>
    <n v="56082"/>
    <n v="8"/>
    <x v="425"/>
    <x v="4"/>
    <x v="0"/>
  </r>
  <r>
    <x v="453"/>
    <x v="38"/>
    <x v="0"/>
    <n v="45"/>
    <x v="4"/>
    <x v="4"/>
    <n v="72851"/>
    <n v="27"/>
    <x v="426"/>
    <x v="2"/>
    <x v="0"/>
  </r>
  <r>
    <x v="454"/>
    <x v="15"/>
    <x v="0"/>
    <n v="37"/>
    <x v="1"/>
    <x v="1"/>
    <n v="97789"/>
    <n v="13"/>
    <x v="427"/>
    <x v="3"/>
    <x v="0"/>
  </r>
  <r>
    <x v="455"/>
    <x v="90"/>
    <x v="0"/>
    <n v="53"/>
    <x v="4"/>
    <x v="4"/>
    <n v="42625"/>
    <n v="28"/>
    <x v="428"/>
    <x v="4"/>
    <x v="0"/>
  </r>
  <r>
    <x v="456"/>
    <x v="54"/>
    <x v="1"/>
    <n v="35"/>
    <x v="4"/>
    <x v="4"/>
    <n v="58330"/>
    <n v="15"/>
    <x v="429"/>
    <x v="4"/>
    <x v="1"/>
  </r>
  <r>
    <x v="457"/>
    <x v="91"/>
    <x v="0"/>
    <n v="44"/>
    <x v="3"/>
    <x v="3"/>
    <n v="27599"/>
    <n v="13"/>
    <x v="430"/>
    <x v="1"/>
    <x v="0"/>
  </r>
  <r>
    <x v="458"/>
    <x v="22"/>
    <x v="1"/>
    <n v="40"/>
    <x v="1"/>
    <x v="1"/>
    <n v="71544"/>
    <n v="10"/>
    <x v="431"/>
    <x v="5"/>
    <x v="1"/>
  </r>
  <r>
    <x v="459"/>
    <x v="23"/>
    <x v="1"/>
    <n v="32"/>
    <x v="1"/>
    <x v="1"/>
    <n v="108962"/>
    <n v="25"/>
    <x v="432"/>
    <x v="0"/>
    <x v="1"/>
  </r>
  <r>
    <x v="460"/>
    <x v="75"/>
    <x v="0"/>
    <n v="36"/>
    <x v="5"/>
    <x v="5"/>
    <n v="66088"/>
    <n v="10"/>
    <x v="433"/>
    <x v="0"/>
    <x v="1"/>
  </r>
  <r>
    <x v="461"/>
    <x v="20"/>
    <x v="0"/>
    <n v="48"/>
    <x v="3"/>
    <x v="3"/>
    <n v="46930"/>
    <n v="5"/>
    <x v="434"/>
    <x v="2"/>
    <x v="1"/>
  </r>
  <r>
    <x v="462"/>
    <x v="75"/>
    <x v="1"/>
    <n v="47"/>
    <x v="0"/>
    <x v="0"/>
    <n v="38501"/>
    <n v="3"/>
    <x v="435"/>
    <x v="5"/>
    <x v="0"/>
  </r>
  <r>
    <x v="463"/>
    <x v="11"/>
    <x v="1"/>
    <n v="38"/>
    <x v="4"/>
    <x v="4"/>
    <n v="106015"/>
    <n v="4"/>
    <x v="436"/>
    <x v="4"/>
    <x v="0"/>
  </r>
  <r>
    <x v="464"/>
    <x v="23"/>
    <x v="1"/>
    <n v="30"/>
    <x v="2"/>
    <x v="2"/>
    <n v="94041"/>
    <n v="26"/>
    <x v="437"/>
    <x v="1"/>
    <x v="1"/>
  </r>
  <r>
    <x v="465"/>
    <x v="7"/>
    <x v="0"/>
    <n v="50"/>
    <x v="3"/>
    <x v="3"/>
    <n v="42709"/>
    <n v="30"/>
    <x v="438"/>
    <x v="6"/>
    <x v="1"/>
  </r>
  <r>
    <x v="466"/>
    <x v="25"/>
    <x v="0"/>
    <n v="52"/>
    <x v="1"/>
    <x v="1"/>
    <n v="95735"/>
    <n v="7"/>
    <x v="439"/>
    <x v="4"/>
    <x v="1"/>
  </r>
  <r>
    <x v="467"/>
    <x v="77"/>
    <x v="1"/>
    <n v="22"/>
    <x v="3"/>
    <x v="3"/>
    <n v="93592"/>
    <n v="26"/>
    <x v="138"/>
    <x v="6"/>
    <x v="0"/>
  </r>
  <r>
    <x v="468"/>
    <x v="7"/>
    <x v="0"/>
    <n v="22"/>
    <x v="0"/>
    <x v="0"/>
    <n v="81418"/>
    <n v="25"/>
    <x v="440"/>
    <x v="3"/>
    <x v="0"/>
  </r>
  <r>
    <x v="469"/>
    <x v="4"/>
    <x v="0"/>
    <n v="49"/>
    <x v="1"/>
    <x v="1"/>
    <n v="76740"/>
    <n v="7"/>
    <x v="441"/>
    <x v="1"/>
    <x v="1"/>
  </r>
  <r>
    <x v="470"/>
    <x v="37"/>
    <x v="1"/>
    <n v="49"/>
    <x v="4"/>
    <x v="4"/>
    <n v="106962"/>
    <n v="7"/>
    <x v="442"/>
    <x v="1"/>
    <x v="1"/>
  </r>
  <r>
    <x v="471"/>
    <x v="3"/>
    <x v="1"/>
    <n v="30"/>
    <x v="4"/>
    <x v="4"/>
    <n v="62957"/>
    <n v="3"/>
    <x v="443"/>
    <x v="4"/>
    <x v="1"/>
  </r>
  <r>
    <x v="472"/>
    <x v="6"/>
    <x v="1"/>
    <n v="25"/>
    <x v="2"/>
    <x v="2"/>
    <n v="95119"/>
    <n v="0"/>
    <x v="444"/>
    <x v="4"/>
    <x v="0"/>
  </r>
  <r>
    <x v="473"/>
    <x v="53"/>
    <x v="1"/>
    <n v="27"/>
    <x v="0"/>
    <x v="0"/>
    <n v="44750"/>
    <n v="0"/>
    <x v="445"/>
    <x v="6"/>
    <x v="1"/>
  </r>
  <r>
    <x v="474"/>
    <x v="86"/>
    <x v="1"/>
    <n v="43"/>
    <x v="4"/>
    <x v="4"/>
    <n v="35515"/>
    <n v="26"/>
    <x v="446"/>
    <x v="3"/>
    <x v="1"/>
  </r>
  <r>
    <x v="475"/>
    <x v="58"/>
    <x v="1"/>
    <n v="34"/>
    <x v="5"/>
    <x v="5"/>
    <n v="57778"/>
    <n v="26"/>
    <x v="447"/>
    <x v="3"/>
    <x v="0"/>
  </r>
  <r>
    <x v="476"/>
    <x v="45"/>
    <x v="1"/>
    <n v="34"/>
    <x v="4"/>
    <x v="4"/>
    <n v="85402"/>
    <n v="23"/>
    <x v="137"/>
    <x v="2"/>
    <x v="1"/>
  </r>
  <r>
    <x v="477"/>
    <x v="60"/>
    <x v="1"/>
    <n v="24"/>
    <x v="4"/>
    <x v="4"/>
    <n v="97034"/>
    <n v="16"/>
    <x v="448"/>
    <x v="1"/>
    <x v="1"/>
  </r>
  <r>
    <x v="478"/>
    <x v="24"/>
    <x v="1"/>
    <n v="29"/>
    <x v="2"/>
    <x v="2"/>
    <n v="55928"/>
    <n v="20"/>
    <x v="232"/>
    <x v="2"/>
    <x v="1"/>
  </r>
  <r>
    <x v="479"/>
    <x v="63"/>
    <x v="1"/>
    <n v="22"/>
    <x v="1"/>
    <x v="1"/>
    <n v="30504"/>
    <n v="18"/>
    <x v="74"/>
    <x v="2"/>
    <x v="1"/>
  </r>
  <r>
    <x v="480"/>
    <x v="74"/>
    <x v="0"/>
    <n v="27"/>
    <x v="5"/>
    <x v="5"/>
    <n v="114908"/>
    <n v="19"/>
    <x v="449"/>
    <x v="5"/>
    <x v="1"/>
  </r>
  <r>
    <x v="481"/>
    <x v="62"/>
    <x v="1"/>
    <n v="30"/>
    <x v="0"/>
    <x v="0"/>
    <n v="88942"/>
    <n v="7"/>
    <x v="450"/>
    <x v="1"/>
    <x v="1"/>
  </r>
  <r>
    <x v="482"/>
    <x v="3"/>
    <x v="0"/>
    <n v="44"/>
    <x v="4"/>
    <x v="4"/>
    <n v="119948"/>
    <n v="4"/>
    <x v="451"/>
    <x v="1"/>
    <x v="1"/>
  </r>
  <r>
    <x v="483"/>
    <x v="99"/>
    <x v="0"/>
    <n v="34"/>
    <x v="1"/>
    <x v="1"/>
    <n v="99278"/>
    <n v="5"/>
    <x v="452"/>
    <x v="6"/>
    <x v="1"/>
  </r>
  <r>
    <x v="484"/>
    <x v="28"/>
    <x v="1"/>
    <n v="55"/>
    <x v="1"/>
    <x v="1"/>
    <n v="45319"/>
    <n v="14"/>
    <x v="453"/>
    <x v="4"/>
    <x v="1"/>
  </r>
  <r>
    <x v="485"/>
    <x v="14"/>
    <x v="1"/>
    <n v="23"/>
    <x v="5"/>
    <x v="5"/>
    <n v="106229"/>
    <n v="27"/>
    <x v="104"/>
    <x v="4"/>
    <x v="0"/>
  </r>
  <r>
    <x v="486"/>
    <x v="58"/>
    <x v="1"/>
    <n v="55"/>
    <x v="0"/>
    <x v="0"/>
    <n v="114551"/>
    <n v="15"/>
    <x v="454"/>
    <x v="4"/>
    <x v="1"/>
  </r>
  <r>
    <x v="487"/>
    <x v="6"/>
    <x v="1"/>
    <n v="55"/>
    <x v="0"/>
    <x v="0"/>
    <n v="111362"/>
    <n v="2"/>
    <x v="455"/>
    <x v="3"/>
    <x v="0"/>
  </r>
  <r>
    <x v="488"/>
    <x v="63"/>
    <x v="1"/>
    <n v="28"/>
    <x v="2"/>
    <x v="2"/>
    <n v="29170"/>
    <n v="18"/>
    <x v="456"/>
    <x v="0"/>
    <x v="1"/>
  </r>
  <r>
    <x v="489"/>
    <x v="4"/>
    <x v="1"/>
    <n v="22"/>
    <x v="5"/>
    <x v="5"/>
    <n v="52359"/>
    <n v="20"/>
    <x v="457"/>
    <x v="3"/>
    <x v="0"/>
  </r>
  <r>
    <x v="490"/>
    <x v="58"/>
    <x v="0"/>
    <n v="25"/>
    <x v="3"/>
    <x v="3"/>
    <n v="105862"/>
    <n v="8"/>
    <x v="267"/>
    <x v="3"/>
    <x v="1"/>
  </r>
  <r>
    <x v="491"/>
    <x v="64"/>
    <x v="1"/>
    <n v="28"/>
    <x v="5"/>
    <x v="5"/>
    <n v="55279"/>
    <n v="17"/>
    <x v="458"/>
    <x v="0"/>
    <x v="0"/>
  </r>
  <r>
    <x v="492"/>
    <x v="5"/>
    <x v="0"/>
    <n v="28"/>
    <x v="1"/>
    <x v="1"/>
    <n v="108705"/>
    <n v="18"/>
    <x v="459"/>
    <x v="1"/>
    <x v="1"/>
  </r>
  <r>
    <x v="493"/>
    <x v="81"/>
    <x v="0"/>
    <n v="54"/>
    <x v="5"/>
    <x v="5"/>
    <n v="69238"/>
    <n v="21"/>
    <x v="460"/>
    <x v="6"/>
    <x v="1"/>
  </r>
  <r>
    <x v="494"/>
    <x v="25"/>
    <x v="0"/>
    <n v="48"/>
    <x v="3"/>
    <x v="3"/>
    <n v="108000"/>
    <n v="13"/>
    <x v="104"/>
    <x v="0"/>
    <x v="0"/>
  </r>
  <r>
    <x v="495"/>
    <x v="25"/>
    <x v="0"/>
    <n v="50"/>
    <x v="4"/>
    <x v="4"/>
    <n v="83654"/>
    <n v="30"/>
    <x v="461"/>
    <x v="5"/>
    <x v="1"/>
  </r>
  <r>
    <x v="496"/>
    <x v="47"/>
    <x v="1"/>
    <n v="41"/>
    <x v="1"/>
    <x v="1"/>
    <n v="25860"/>
    <n v="9"/>
    <x v="462"/>
    <x v="4"/>
    <x v="0"/>
  </r>
  <r>
    <x v="497"/>
    <x v="50"/>
    <x v="1"/>
    <n v="28"/>
    <x v="0"/>
    <x v="0"/>
    <n v="29946"/>
    <n v="14"/>
    <x v="463"/>
    <x v="4"/>
    <x v="1"/>
  </r>
  <r>
    <x v="498"/>
    <x v="74"/>
    <x v="0"/>
    <n v="41"/>
    <x v="1"/>
    <x v="1"/>
    <n v="37046"/>
    <n v="18"/>
    <x v="464"/>
    <x v="1"/>
    <x v="0"/>
  </r>
  <r>
    <x v="499"/>
    <x v="30"/>
    <x v="1"/>
    <n v="53"/>
    <x v="0"/>
    <x v="0"/>
    <n v="115386"/>
    <n v="22"/>
    <x v="465"/>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145D0-CDF9-409C-82A3-A0D33D96290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B9" firstHeaderRow="1" firstDataRow="1" firstDataCol="1"/>
  <pivotFields count="14">
    <pivotField dataField="1" showAll="0"/>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axis="axisRow" showAll="0" countASubtotal="1">
      <items count="3">
        <item x="0"/>
        <item x="1"/>
        <item t="countA"/>
      </items>
    </pivotField>
    <pivotField showAll="0"/>
    <pivotField showAll="0">
      <items count="7">
        <item x="3"/>
        <item x="5"/>
        <item x="2"/>
        <item x="1"/>
        <item x="0"/>
        <item x="4"/>
        <item t="default"/>
      </items>
    </pivotField>
    <pivotField showAll="0"/>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3">
    <i>
      <x/>
    </i>
    <i>
      <x v="1"/>
    </i>
    <i t="grand">
      <x/>
    </i>
  </rowItems>
  <colItems count="1">
    <i/>
  </colItems>
  <dataFields count="1">
    <dataField name="Count of Employee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30D19-778B-42D9-A160-7BF9056AD19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52:B59"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showAll="0">
      <items count="7">
        <item x="3"/>
        <item x="5"/>
        <item x="2"/>
        <item x="1"/>
        <item x="0"/>
        <item x="4"/>
        <item t="default"/>
      </items>
    </pivotField>
    <pivotField axis="axisRow" showAll="0">
      <items count="7">
        <item x="3"/>
        <item x="2"/>
        <item x="5"/>
        <item x="1"/>
        <item x="0"/>
        <item x="4"/>
        <item t="default"/>
      </items>
    </pivotField>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5"/>
  </rowFields>
  <rowItems count="7">
    <i>
      <x/>
    </i>
    <i>
      <x v="1"/>
    </i>
    <i>
      <x v="2"/>
    </i>
    <i>
      <x v="3"/>
    </i>
    <i>
      <x v="4"/>
    </i>
    <i>
      <x v="5"/>
    </i>
    <i t="grand">
      <x/>
    </i>
  </rowItems>
  <colItems count="1">
    <i/>
  </colItems>
  <dataFields count="1">
    <dataField name="Count of Employee ID" fld="0" subtotal="count" baseField="5"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4D341C-8AAB-4B60-957C-6BBA3FC83C9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dataField="1" showAll="0"/>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items count="3">
        <item x="0"/>
        <item x="1"/>
        <item t="default"/>
      </items>
    </pivotField>
    <pivotField showAll="0"/>
    <pivotField showAll="0">
      <items count="7">
        <item x="3"/>
        <item x="5"/>
        <item x="2"/>
        <item x="1"/>
        <item x="0"/>
        <item x="4"/>
        <item t="default"/>
      </items>
    </pivotField>
    <pivotField showAll="0"/>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2618DC-D524-4798-B8BE-042F94DD315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14">
    <pivotField showAll="0"/>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showAll="0">
      <items count="7">
        <item x="3"/>
        <item x="5"/>
        <item x="2"/>
        <item x="1"/>
        <item x="0"/>
        <item x="4"/>
        <item t="default"/>
      </items>
    </pivotField>
    <pivotField showAll="0"/>
    <pivotField numFmtId="165" showAll="0"/>
    <pivotField dataField="1"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Experience (Years)"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24B0D2-71A4-4B5B-83A4-3D4E8C8C7A5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8:B45"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axis="axisRow" showAll="0">
      <items count="7">
        <item x="3"/>
        <item x="5"/>
        <item x="2"/>
        <item x="1"/>
        <item x="0"/>
        <item x="4"/>
        <item t="default"/>
      </items>
    </pivotField>
    <pivotField showAll="0"/>
    <pivotField dataField="1"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7">
    <i>
      <x/>
    </i>
    <i>
      <x v="1"/>
    </i>
    <i>
      <x v="2"/>
    </i>
    <i>
      <x v="3"/>
    </i>
    <i>
      <x v="4"/>
    </i>
    <i>
      <x v="5"/>
    </i>
    <i t="grand">
      <x/>
    </i>
  </rowItems>
  <colItems count="1">
    <i/>
  </colItems>
  <dataFields count="1">
    <dataField name="Average of Salary" fld="6" subtotal="average" baseField="4" baseItem="0" numFmtId="165"/>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11B9B-8D7A-4DB9-8D86-4A01C719C46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14">
    <pivotField showAll="0"/>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showAll="0">
      <items count="7">
        <item x="3"/>
        <item x="5"/>
        <item x="2"/>
        <item x="1"/>
        <item x="0"/>
        <item x="4"/>
        <item t="default"/>
      </items>
    </pivotField>
    <pivotField showAll="0"/>
    <pivotField dataField="1"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Salary"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ADB62A-EA03-427D-9E92-F3FE0CB672C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0:B33"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axis="axisRow" showAll="0" countASubtotal="1">
      <items count="3">
        <item x="0"/>
        <item x="1"/>
        <item t="countA"/>
      </items>
    </pivotField>
    <pivotField showAll="0"/>
    <pivotField showAll="0">
      <items count="7">
        <item x="3"/>
        <item x="5"/>
        <item x="2"/>
        <item x="1"/>
        <item x="0"/>
        <item x="4"/>
        <item t="default"/>
      </items>
    </pivotField>
    <pivotField showAll="0"/>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3">
    <i>
      <x/>
    </i>
    <i>
      <x v="1"/>
    </i>
    <i t="grand">
      <x/>
    </i>
  </rowItems>
  <colItems count="1">
    <i/>
  </colItems>
  <dataFields count="1">
    <dataField name="Count of Employee ID" fld="0" subtotal="count" baseField="2"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3F8076-42A7-4B87-91D8-446FFA77BCE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9:B26"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axis="axisRow" showAll="0">
      <items count="7">
        <item x="3"/>
        <item x="5"/>
        <item x="2"/>
        <item x="1"/>
        <item x="0"/>
        <item x="4"/>
        <item t="default"/>
      </items>
    </pivotField>
    <pivotField showAll="0"/>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7">
    <i>
      <x/>
    </i>
    <i>
      <x v="1"/>
    </i>
    <i>
      <x v="2"/>
    </i>
    <i>
      <x v="3"/>
    </i>
    <i>
      <x v="4"/>
    </i>
    <i>
      <x v="5"/>
    </i>
    <i t="grand">
      <x/>
    </i>
  </rowItems>
  <colItems count="1">
    <i/>
  </colItems>
  <dataFields count="1">
    <dataField name="Count of Employee ID" fld="0" subtotal="count" baseField="4"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B20895-1CFD-4E16-890D-C47B16307C8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82:B85"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showAll="0">
      <items count="7">
        <item x="3"/>
        <item x="5"/>
        <item x="2"/>
        <item x="1"/>
        <item x="0"/>
        <item x="4"/>
        <item t="default"/>
      </items>
    </pivotField>
    <pivotField showAll="0">
      <items count="7">
        <item x="3"/>
        <item x="2"/>
        <item x="5"/>
        <item x="1"/>
        <item x="0"/>
        <item x="4"/>
        <item t="default"/>
      </items>
    </pivotField>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0"/>
  </rowFields>
  <rowItems count="3">
    <i>
      <x/>
    </i>
    <i>
      <x v="1"/>
    </i>
    <i t="grand">
      <x/>
    </i>
  </rowItems>
  <colItems count="1">
    <i/>
  </colItems>
  <dataFields count="1">
    <dataField name="Count of Employee ID" fld="0" subtotal="count" baseField="10" baseItem="0"/>
  </dataField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86788E-05C6-4647-BAB8-FA4177288E0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66:B75"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1">
        <item x="95"/>
        <item x="47"/>
        <item x="67"/>
        <item x="84"/>
        <item x="90"/>
        <item x="48"/>
        <item x="49"/>
        <item x="12"/>
        <item x="32"/>
        <item x="75"/>
        <item x="86"/>
        <item x="91"/>
        <item x="24"/>
        <item x="59"/>
        <item x="4"/>
        <item x="31"/>
        <item x="64"/>
        <item x="3"/>
        <item x="83"/>
        <item x="65"/>
        <item x="82"/>
        <item x="62"/>
        <item x="57"/>
        <item x="77"/>
        <item x="71"/>
        <item x="73"/>
        <item x="94"/>
        <item x="15"/>
        <item x="37"/>
        <item x="74"/>
        <item x="72"/>
        <item x="80"/>
        <item x="21"/>
        <item x="61"/>
        <item x="26"/>
        <item x="36"/>
        <item x="2"/>
        <item x="53"/>
        <item x="20"/>
        <item x="45"/>
        <item x="58"/>
        <item x="85"/>
        <item x="78"/>
        <item x="25"/>
        <item x="28"/>
        <item x="41"/>
        <item x="52"/>
        <item x="89"/>
        <item x="18"/>
        <item x="97"/>
        <item x="19"/>
        <item x="27"/>
        <item x="1"/>
        <item x="17"/>
        <item x="38"/>
        <item x="87"/>
        <item x="50"/>
        <item x="33"/>
        <item x="40"/>
        <item x="39"/>
        <item x="30"/>
        <item x="55"/>
        <item x="6"/>
        <item x="96"/>
        <item x="70"/>
        <item x="8"/>
        <item x="22"/>
        <item x="66"/>
        <item x="35"/>
        <item x="34"/>
        <item x="7"/>
        <item x="93"/>
        <item x="51"/>
        <item x="98"/>
        <item x="16"/>
        <item x="9"/>
        <item x="5"/>
        <item x="42"/>
        <item x="69"/>
        <item x="81"/>
        <item x="14"/>
        <item x="13"/>
        <item x="11"/>
        <item x="44"/>
        <item x="92"/>
        <item x="23"/>
        <item x="99"/>
        <item x="46"/>
        <item x="60"/>
        <item x="88"/>
        <item x="63"/>
        <item x="10"/>
        <item x="0"/>
        <item x="29"/>
        <item x="54"/>
        <item x="79"/>
        <item x="68"/>
        <item x="43"/>
        <item x="76"/>
        <item x="56"/>
        <item t="default"/>
      </items>
    </pivotField>
    <pivotField showAll="0" countASubtotal="1">
      <items count="3">
        <item x="0"/>
        <item x="1"/>
        <item t="countA"/>
      </items>
    </pivotField>
    <pivotField showAll="0"/>
    <pivotField showAll="0">
      <items count="7">
        <item x="3"/>
        <item x="5"/>
        <item x="2"/>
        <item x="1"/>
        <item x="0"/>
        <item x="4"/>
        <item t="default"/>
      </items>
    </pivotField>
    <pivotField showAll="0">
      <items count="7">
        <item x="3"/>
        <item x="2"/>
        <item x="5"/>
        <item x="1"/>
        <item x="0"/>
        <item x="4"/>
        <item t="default"/>
      </items>
    </pivotField>
    <pivotField numFmtId="165" showAll="0"/>
    <pivotField showAll="0"/>
    <pivotField numFmtId="164" showAll="0">
      <items count="467">
        <item x="269"/>
        <item x="125"/>
        <item x="225"/>
        <item x="352"/>
        <item x="65"/>
        <item x="176"/>
        <item x="206"/>
        <item x="54"/>
        <item x="22"/>
        <item x="360"/>
        <item x="71"/>
        <item x="455"/>
        <item x="328"/>
        <item x="23"/>
        <item x="194"/>
        <item x="211"/>
        <item x="181"/>
        <item x="434"/>
        <item x="331"/>
        <item x="45"/>
        <item x="361"/>
        <item x="313"/>
        <item x="415"/>
        <item x="105"/>
        <item x="18"/>
        <item x="56"/>
        <item x="183"/>
        <item x="307"/>
        <item x="213"/>
        <item x="288"/>
        <item x="373"/>
        <item x="147"/>
        <item x="127"/>
        <item x="248"/>
        <item x="204"/>
        <item x="286"/>
        <item x="171"/>
        <item x="134"/>
        <item x="223"/>
        <item x="1"/>
        <item x="359"/>
        <item x="349"/>
        <item x="40"/>
        <item x="347"/>
        <item x="120"/>
        <item x="185"/>
        <item x="98"/>
        <item x="123"/>
        <item x="37"/>
        <item x="151"/>
        <item x="20"/>
        <item x="344"/>
        <item x="267"/>
        <item x="113"/>
        <item x="363"/>
        <item x="316"/>
        <item x="250"/>
        <item x="28"/>
        <item x="320"/>
        <item x="362"/>
        <item x="294"/>
        <item x="58"/>
        <item x="238"/>
        <item x="264"/>
        <item x="68"/>
        <item x="92"/>
        <item x="396"/>
        <item x="174"/>
        <item x="448"/>
        <item x="388"/>
        <item x="284"/>
        <item x="324"/>
        <item x="315"/>
        <item x="254"/>
        <item x="124"/>
        <item x="190"/>
        <item x="430"/>
        <item x="395"/>
        <item x="419"/>
        <item x="36"/>
        <item x="339"/>
        <item x="439"/>
        <item x="103"/>
        <item x="112"/>
        <item x="435"/>
        <item x="400"/>
        <item x="114"/>
        <item x="429"/>
        <item x="278"/>
        <item x="314"/>
        <item x="280"/>
        <item x="202"/>
        <item x="130"/>
        <item x="137"/>
        <item x="231"/>
        <item x="141"/>
        <item x="210"/>
        <item x="260"/>
        <item x="465"/>
        <item x="275"/>
        <item x="229"/>
        <item x="436"/>
        <item x="0"/>
        <item x="266"/>
        <item x="348"/>
        <item x="172"/>
        <item x="224"/>
        <item x="296"/>
        <item x="41"/>
        <item x="30"/>
        <item x="383"/>
        <item x="148"/>
        <item x="117"/>
        <item x="437"/>
        <item x="374"/>
        <item x="446"/>
        <item x="271"/>
        <item x="25"/>
        <item x="282"/>
        <item x="76"/>
        <item x="354"/>
        <item x="86"/>
        <item x="444"/>
        <item x="96"/>
        <item x="308"/>
        <item x="340"/>
        <item x="203"/>
        <item x="35"/>
        <item x="121"/>
        <item x="15"/>
        <item x="309"/>
        <item x="57"/>
        <item x="140"/>
        <item x="95"/>
        <item x="387"/>
        <item x="322"/>
        <item x="146"/>
        <item x="369"/>
        <item x="285"/>
        <item x="138"/>
        <item x="253"/>
        <item x="136"/>
        <item x="164"/>
        <item x="175"/>
        <item x="215"/>
        <item x="310"/>
        <item x="182"/>
        <item x="200"/>
        <item x="319"/>
        <item x="132"/>
        <item x="201"/>
        <item x="279"/>
        <item x="342"/>
        <item x="33"/>
        <item x="402"/>
        <item x="214"/>
        <item x="368"/>
        <item x="460"/>
        <item x="358"/>
        <item x="131"/>
        <item x="109"/>
        <item x="454"/>
        <item x="401"/>
        <item x="438"/>
        <item x="44"/>
        <item x="99"/>
        <item x="32"/>
        <item x="212"/>
        <item x="234"/>
        <item x="244"/>
        <item x="365"/>
        <item x="441"/>
        <item x="142"/>
        <item x="281"/>
        <item x="216"/>
        <item x="208"/>
        <item x="334"/>
        <item x="64"/>
        <item x="389"/>
        <item x="119"/>
        <item x="5"/>
        <item x="47"/>
        <item x="59"/>
        <item x="108"/>
        <item x="290"/>
        <item x="298"/>
        <item x="13"/>
        <item x="46"/>
        <item x="421"/>
        <item x="462"/>
        <item x="259"/>
        <item x="255"/>
        <item x="329"/>
        <item x="366"/>
        <item x="49"/>
        <item x="73"/>
        <item x="75"/>
        <item x="261"/>
        <item x="67"/>
        <item x="379"/>
        <item x="51"/>
        <item x="115"/>
        <item x="186"/>
        <item x="410"/>
        <item x="424"/>
        <item x="42"/>
        <item x="50"/>
        <item x="43"/>
        <item x="268"/>
        <item x="241"/>
        <item x="357"/>
        <item x="252"/>
        <item x="143"/>
        <item x="218"/>
        <item x="82"/>
        <item x="249"/>
        <item x="276"/>
        <item x="111"/>
        <item x="152"/>
        <item x="237"/>
        <item x="26"/>
        <item x="304"/>
        <item x="376"/>
        <item x="380"/>
        <item x="299"/>
        <item x="418"/>
        <item x="102"/>
        <item x="184"/>
        <item x="220"/>
        <item x="372"/>
        <item x="88"/>
        <item x="16"/>
        <item x="277"/>
        <item x="9"/>
        <item x="370"/>
        <item x="391"/>
        <item x="93"/>
        <item x="78"/>
        <item x="451"/>
        <item x="378"/>
        <item x="145"/>
        <item x="150"/>
        <item x="235"/>
        <item x="8"/>
        <item x="179"/>
        <item x="156"/>
        <item x="345"/>
        <item x="191"/>
        <item x="110"/>
        <item x="168"/>
        <item x="101"/>
        <item x="283"/>
        <item x="274"/>
        <item x="306"/>
        <item x="169"/>
        <item x="420"/>
        <item x="24"/>
        <item x="161"/>
        <item x="399"/>
        <item x="188"/>
        <item x="247"/>
        <item x="196"/>
        <item x="189"/>
        <item x="453"/>
        <item x="442"/>
        <item x="325"/>
        <item x="100"/>
        <item x="62"/>
        <item x="302"/>
        <item x="332"/>
        <item x="338"/>
        <item x="85"/>
        <item x="301"/>
        <item x="295"/>
        <item x="384"/>
        <item x="133"/>
        <item x="83"/>
        <item x="31"/>
        <item x="394"/>
        <item x="416"/>
        <item x="440"/>
        <item x="195"/>
        <item x="197"/>
        <item x="289"/>
        <item x="385"/>
        <item x="356"/>
        <item x="4"/>
        <item x="7"/>
        <item x="69"/>
        <item x="433"/>
        <item x="178"/>
        <item x="77"/>
        <item x="390"/>
        <item x="414"/>
        <item x="393"/>
        <item x="6"/>
        <item x="337"/>
        <item x="381"/>
        <item x="38"/>
        <item x="34"/>
        <item x="17"/>
        <item x="60"/>
        <item x="70"/>
        <item x="353"/>
        <item x="463"/>
        <item x="209"/>
        <item x="246"/>
        <item x="139"/>
        <item x="167"/>
        <item x="27"/>
        <item x="221"/>
        <item x="107"/>
        <item x="265"/>
        <item x="217"/>
        <item x="14"/>
        <item x="392"/>
        <item x="311"/>
        <item x="180"/>
        <item x="452"/>
        <item x="155"/>
        <item x="39"/>
        <item x="432"/>
        <item x="66"/>
        <item x="377"/>
        <item x="428"/>
        <item x="346"/>
        <item x="404"/>
        <item x="165"/>
        <item x="371"/>
        <item x="236"/>
        <item x="375"/>
        <item x="263"/>
        <item x="450"/>
        <item x="170"/>
        <item x="104"/>
        <item x="3"/>
        <item x="158"/>
        <item x="449"/>
        <item x="80"/>
        <item x="341"/>
        <item x="116"/>
        <item x="157"/>
        <item x="459"/>
        <item x="53"/>
        <item x="135"/>
        <item x="173"/>
        <item x="411"/>
        <item x="262"/>
        <item x="305"/>
        <item x="367"/>
        <item x="447"/>
        <item x="128"/>
        <item x="461"/>
        <item x="413"/>
        <item x="84"/>
        <item x="230"/>
        <item x="227"/>
        <item x="292"/>
        <item x="233"/>
        <item x="226"/>
        <item x="126"/>
        <item x="12"/>
        <item x="405"/>
        <item x="427"/>
        <item x="458"/>
        <item x="364"/>
        <item x="270"/>
        <item x="422"/>
        <item x="407"/>
        <item x="426"/>
        <item x="205"/>
        <item x="232"/>
        <item x="242"/>
        <item x="187"/>
        <item x="2"/>
        <item x="240"/>
        <item x="312"/>
        <item x="398"/>
        <item x="355"/>
        <item x="192"/>
        <item x="412"/>
        <item x="207"/>
        <item x="256"/>
        <item x="335"/>
        <item x="52"/>
        <item x="89"/>
        <item x="251"/>
        <item x="122"/>
        <item x="318"/>
        <item x="297"/>
        <item x="382"/>
        <item x="245"/>
        <item x="129"/>
        <item x="48"/>
        <item x="386"/>
        <item x="333"/>
        <item x="464"/>
        <item x="94"/>
        <item x="106"/>
        <item x="91"/>
        <item x="198"/>
        <item x="456"/>
        <item x="409"/>
        <item x="423"/>
        <item x="228"/>
        <item x="118"/>
        <item x="273"/>
        <item x="287"/>
        <item x="300"/>
        <item x="291"/>
        <item x="293"/>
        <item x="397"/>
        <item x="351"/>
        <item x="159"/>
        <item x="153"/>
        <item x="90"/>
        <item x="323"/>
        <item x="272"/>
        <item x="97"/>
        <item x="81"/>
        <item x="457"/>
        <item x="10"/>
        <item x="163"/>
        <item x="350"/>
        <item x="403"/>
        <item x="21"/>
        <item x="87"/>
        <item x="330"/>
        <item x="317"/>
        <item x="445"/>
        <item x="162"/>
        <item x="408"/>
        <item x="154"/>
        <item x="79"/>
        <item x="199"/>
        <item x="243"/>
        <item x="63"/>
        <item x="326"/>
        <item x="55"/>
        <item x="160"/>
        <item x="343"/>
        <item x="19"/>
        <item x="258"/>
        <item x="219"/>
        <item x="222"/>
        <item x="72"/>
        <item x="193"/>
        <item x="144"/>
        <item x="11"/>
        <item x="166"/>
        <item x="29"/>
        <item x="303"/>
        <item x="327"/>
        <item x="149"/>
        <item x="257"/>
        <item x="321"/>
        <item x="425"/>
        <item x="443"/>
        <item x="239"/>
        <item x="177"/>
        <item x="406"/>
        <item x="336"/>
        <item x="417"/>
        <item x="61"/>
        <item x="431"/>
        <item x="74"/>
        <item t="default"/>
      </items>
    </pivotField>
    <pivotField showAll="0">
      <items count="8">
        <item x="1"/>
        <item x="5"/>
        <item x="4"/>
        <item x="3"/>
        <item x="6"/>
        <item x="2"/>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13"/>
  </rowFields>
  <rowItems count="9">
    <i>
      <x v="1"/>
    </i>
    <i>
      <x v="2"/>
    </i>
    <i>
      <x v="3"/>
    </i>
    <i>
      <x v="4"/>
    </i>
    <i>
      <x v="5"/>
    </i>
    <i>
      <x v="6"/>
    </i>
    <i>
      <x v="7"/>
    </i>
    <i>
      <x v="8"/>
    </i>
    <i t="grand">
      <x/>
    </i>
  </rowItems>
  <colItems count="1">
    <i/>
  </colItems>
  <dataFields count="1">
    <dataField name="Count of Employee ID" fld="0" subtotal="count" baseField="13" baseItem="1"/>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1D5BD5-44E2-46E1-AFD9-0EEFFB918AF5}" sourceName="Gender">
  <pivotTables>
    <pivotTable tabId="4" name="PivotTable5"/>
    <pivotTable tabId="4" name="PivotTable6"/>
    <pivotTable tabId="4" name="PivotTable1"/>
    <pivotTable tabId="4" name="PivotTable10"/>
    <pivotTable tabId="4" name="PivotTable2"/>
    <pivotTable tabId="4" name="PivotTable3"/>
    <pivotTable tabId="4" name="PivotTable4"/>
    <pivotTable tabId="4" name="PivotTable7"/>
    <pivotTable tabId="4" name="PivotTable8"/>
    <pivotTable tabId="4" name="PivotTable9"/>
  </pivotTables>
  <data>
    <tabular pivotCacheId="21156989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43664E0-C5D0-4931-9A7B-FE856F0DE86A}" sourceName="Department">
  <pivotTables>
    <pivotTable tabId="4" name="PivotTable5"/>
    <pivotTable tabId="4" name="PivotTable6"/>
    <pivotTable tabId="4" name="PivotTable1"/>
    <pivotTable tabId="4" name="PivotTable10"/>
    <pivotTable tabId="4" name="PivotTable2"/>
    <pivotTable tabId="4" name="PivotTable3"/>
    <pivotTable tabId="4" name="PivotTable4"/>
    <pivotTable tabId="4" name="PivotTable7"/>
    <pivotTable tabId="4" name="PivotTable8"/>
    <pivotTable tabId="4" name="PivotTable9"/>
  </pivotTables>
  <data>
    <tabular pivotCacheId="2115698992">
      <items count="6">
        <i x="3" s="1"/>
        <i x="5"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9514CFD-B8BC-4AD1-80DC-56364C47CE76}" sourceName="City">
  <pivotTables>
    <pivotTable tabId="4" name="PivotTable5"/>
    <pivotTable tabId="4" name="PivotTable6"/>
    <pivotTable tabId="4" name="PivotTable1"/>
    <pivotTable tabId="4" name="PivotTable10"/>
    <pivotTable tabId="4" name="PivotTable2"/>
    <pivotTable tabId="4" name="PivotTable3"/>
    <pivotTable tabId="4" name="PivotTable4"/>
    <pivotTable tabId="4" name="PivotTable7"/>
    <pivotTable tabId="4" name="PivotTable8"/>
    <pivotTable tabId="4" name="PivotTable9"/>
  </pivotTables>
  <data>
    <tabular pivotCacheId="2115698992">
      <items count="7">
        <i x="1" s="1"/>
        <i x="5" s="1"/>
        <i x="4" s="1"/>
        <i x="3" s="1"/>
        <i x="6"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8DCB1D40-0A09-4FDD-97CE-EE34AC2055D2}" sourceName="Employment Type">
  <pivotTables>
    <pivotTable tabId="4" name="PivotTable5"/>
    <pivotTable tabId="4" name="PivotTable6"/>
    <pivotTable tabId="4" name="PivotTable1"/>
    <pivotTable tabId="4" name="PivotTable10"/>
    <pivotTable tabId="4" name="PivotTable2"/>
    <pivotTable tabId="4" name="PivotTable3"/>
    <pivotTable tabId="4" name="PivotTable4"/>
    <pivotTable tabId="4" name="PivotTable7"/>
    <pivotTable tabId="4" name="PivotTable8"/>
    <pivotTable tabId="4" name="PivotTable9"/>
  </pivotTables>
  <data>
    <tabular pivotCacheId="21156989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FBBC11-21ED-4C2C-A91C-A90C8A28C442}" cache="Slicer_Gender" caption="Gender" columnCount="2" style="SlicerStyleDark1" rowHeight="234950"/>
  <slicer name="Department" xr10:uid="{27DCA591-F8CC-4A86-ABA2-2E291F4406A9}" cache="Slicer_Department" caption="Department" columnCount="2" style="SlicerStyleDark1" rowHeight="234950"/>
  <slicer name="City" xr10:uid="{4805BA4F-E639-4B5C-A31D-6432FB82E916}" cache="Slicer_City" caption="City" columnCount="2" style="SlicerStyleDark1" rowHeight="234950"/>
  <slicer name="Employment Type" xr10:uid="{B2B477EB-1489-4C4D-8F6A-6CD7582F68E9}" cache="Slicer_Employment_Type" caption="Employment Type" columnCount="2"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981FC8C-2831-4712-8F18-8D650C91FB31}" cache="Slicer_Gender" caption="Gender" columnCount="2" style="SlicerStyleDark1" rowHeight="234950"/>
  <slicer name="Department 1" xr10:uid="{288F7219-77FF-41FF-8227-4D8626048B7E}" cache="Slicer_Department" caption="Department" columnCount="2" style="SlicerStyleDark1" rowHeight="234950"/>
  <slicer name="City 1" xr10:uid="{ACAA94B2-E2DD-46B0-88BE-6E17710D968C}" cache="Slicer_City" caption="City" columnCount="2" style="SlicerStyleDark1" rowHeight="234950"/>
  <slicer name="Employment Type 1" xr10:uid="{6C1F2847-BEEA-4D15-BFAD-F7E3E106FB80}" cache="Slicer_Employment_Type" caption="Employment Type" columnCount="2"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4C87CCEF-ADD5-4148-8EF8-903D716823E5}" sourceName="Joining Date">
  <pivotTables>
    <pivotTable tabId="4" name="PivotTable5"/>
    <pivotTable tabId="4" name="PivotTable1"/>
    <pivotTable tabId="4" name="PivotTable10"/>
    <pivotTable tabId="4" name="PivotTable2"/>
    <pivotTable tabId="4" name="PivotTable3"/>
    <pivotTable tabId="4" name="PivotTable4"/>
    <pivotTable tabId="4" name="PivotTable6"/>
    <pivotTable tabId="4" name="PivotTable7"/>
    <pivotTable tabId="4" name="PivotTable8"/>
    <pivotTable tabId="4" name="PivotTable9"/>
  </pivotTables>
  <state minimalRefreshVersion="6" lastRefreshVersion="6" pivotCacheId="2115698992" filterType="unknown">
    <bounds startDate="2018-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 Date" xr10:uid="{7F857980-9F78-430A-BF86-2B4FC053DF05}" cache="NativeTimeline_Joining_Date" caption="Joining Date" level="2" selectionLevel="2" scrollPosition="2025-06-0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 Date 1" xr10:uid="{C1306E3C-7EE0-42C1-8801-C890515FDA47}" cache="NativeTimeline_Joining_Date" caption="Joining Date" level="2" selectionLevel="2" scrollPosition="2018-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4.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F821-116C-4CD3-ADB0-67758C41FB59}">
  <dimension ref="A5"/>
  <sheetViews>
    <sheetView zoomScale="85" zoomScaleNormal="85" workbookViewId="0"/>
  </sheetViews>
  <sheetFormatPr defaultRowHeight="14.4" x14ac:dyDescent="0.3"/>
  <sheetData>
    <row r="5" ht="13.8"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0F21-1A89-4216-AA06-E2686BC7FB46}">
  <dimension ref="A5"/>
  <sheetViews>
    <sheetView zoomScale="85" zoomScaleNormal="85" workbookViewId="0"/>
  </sheetViews>
  <sheetFormatPr defaultRowHeight="14.4" x14ac:dyDescent="0.3"/>
  <sheetData>
    <row r="5" ht="13.8"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1A2-567E-4128-A9CE-C124F6BB1B9B}">
  <dimension ref="A5"/>
  <sheetViews>
    <sheetView zoomScale="85" zoomScaleNormal="85" workbookViewId="0"/>
  </sheetViews>
  <sheetFormatPr defaultRowHeight="14.4" x14ac:dyDescent="0.3"/>
  <sheetData>
    <row r="5" ht="13.8" customHeight="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E71FF-7EF5-49F2-BF15-1937D25CDD2E}">
  <dimension ref="A3:K85"/>
  <sheetViews>
    <sheetView topLeftCell="A73" workbookViewId="0">
      <selection activeCell="D85" sqref="D85"/>
    </sheetView>
  </sheetViews>
  <sheetFormatPr defaultRowHeight="14.4" x14ac:dyDescent="0.3"/>
  <cols>
    <col min="1" max="1" width="12.5546875" bestFit="1" customWidth="1"/>
    <col min="2" max="2" width="19.5546875" bestFit="1" customWidth="1"/>
    <col min="3" max="3" width="19.109375" bestFit="1" customWidth="1"/>
  </cols>
  <sheetData>
    <row r="3" spans="1:3" x14ac:dyDescent="0.3">
      <c r="A3" t="s">
        <v>136</v>
      </c>
    </row>
    <row r="4" spans="1:3" x14ac:dyDescent="0.3">
      <c r="A4">
        <v>500</v>
      </c>
      <c r="B4">
        <f>GETPIVOTDATA("Employee ID",$A$3)</f>
        <v>500</v>
      </c>
    </row>
    <row r="6" spans="1:3" x14ac:dyDescent="0.3">
      <c r="A6" s="4" t="s">
        <v>134</v>
      </c>
      <c r="B6" t="s">
        <v>136</v>
      </c>
    </row>
    <row r="7" spans="1:3" x14ac:dyDescent="0.3">
      <c r="A7" s="5" t="s">
        <v>12</v>
      </c>
      <c r="B7">
        <v>272</v>
      </c>
      <c r="C7">
        <f>GETPIVOTDATA("Employee ID",$A$6,"Gender","Female")</f>
        <v>272</v>
      </c>
    </row>
    <row r="8" spans="1:3" x14ac:dyDescent="0.3">
      <c r="A8" s="5" t="s">
        <v>18</v>
      </c>
      <c r="B8">
        <v>228</v>
      </c>
      <c r="C8">
        <f>GETPIVOTDATA("Employee ID",$A$6,"Gender","Male")</f>
        <v>228</v>
      </c>
    </row>
    <row r="9" spans="1:3" x14ac:dyDescent="0.3">
      <c r="A9" s="5" t="s">
        <v>135</v>
      </c>
      <c r="B9">
        <v>500</v>
      </c>
    </row>
    <row r="12" spans="1:3" x14ac:dyDescent="0.3">
      <c r="A12" t="s">
        <v>137</v>
      </c>
    </row>
    <row r="13" spans="1:3" x14ac:dyDescent="0.3">
      <c r="A13" s="3">
        <v>70496.070000000007</v>
      </c>
      <c r="B13" s="3">
        <f>GETPIVOTDATA("Salary",$A$12)</f>
        <v>70496.070000000007</v>
      </c>
    </row>
    <row r="15" spans="1:3" x14ac:dyDescent="0.3">
      <c r="A15" t="s">
        <v>138</v>
      </c>
    </row>
    <row r="16" spans="1:3" x14ac:dyDescent="0.3">
      <c r="A16">
        <v>14.666</v>
      </c>
      <c r="B16" s="6">
        <f>GETPIVOTDATA("Experience (Years)",$A$15)</f>
        <v>14.666</v>
      </c>
    </row>
    <row r="17" spans="1:11" x14ac:dyDescent="0.3">
      <c r="E17" s="8" t="s">
        <v>139</v>
      </c>
      <c r="F17" s="8"/>
      <c r="G17" s="8"/>
      <c r="H17" s="8"/>
      <c r="I17" s="8"/>
      <c r="J17" s="8"/>
      <c r="K17" s="8"/>
    </row>
    <row r="19" spans="1:11" x14ac:dyDescent="0.3">
      <c r="A19" s="4" t="s">
        <v>134</v>
      </c>
      <c r="B19" t="s">
        <v>136</v>
      </c>
    </row>
    <row r="20" spans="1:11" x14ac:dyDescent="0.3">
      <c r="A20" s="5" t="s">
        <v>27</v>
      </c>
      <c r="B20">
        <v>77</v>
      </c>
    </row>
    <row r="21" spans="1:11" x14ac:dyDescent="0.3">
      <c r="A21" s="5" t="s">
        <v>51</v>
      </c>
      <c r="B21">
        <v>77</v>
      </c>
    </row>
    <row r="22" spans="1:11" x14ac:dyDescent="0.3">
      <c r="A22" s="5" t="s">
        <v>24</v>
      </c>
      <c r="B22">
        <v>81</v>
      </c>
    </row>
    <row r="23" spans="1:11" x14ac:dyDescent="0.3">
      <c r="A23" s="5" t="s">
        <v>19</v>
      </c>
      <c r="B23">
        <v>86</v>
      </c>
    </row>
    <row r="24" spans="1:11" x14ac:dyDescent="0.3">
      <c r="A24" s="5" t="s">
        <v>13</v>
      </c>
      <c r="B24">
        <v>99</v>
      </c>
    </row>
    <row r="25" spans="1:11" x14ac:dyDescent="0.3">
      <c r="A25" s="5" t="s">
        <v>45</v>
      </c>
      <c r="B25">
        <v>80</v>
      </c>
    </row>
    <row r="26" spans="1:11" x14ac:dyDescent="0.3">
      <c r="A26" s="5" t="s">
        <v>135</v>
      </c>
      <c r="B26">
        <v>500</v>
      </c>
    </row>
    <row r="27" spans="1:11" x14ac:dyDescent="0.3">
      <c r="E27" s="8" t="s">
        <v>140</v>
      </c>
      <c r="F27" s="8"/>
      <c r="G27" s="8"/>
      <c r="H27" s="8"/>
      <c r="I27" s="8"/>
      <c r="J27" s="8"/>
      <c r="K27" s="8"/>
    </row>
    <row r="29" spans="1:11" x14ac:dyDescent="0.3">
      <c r="A29" s="7"/>
    </row>
    <row r="30" spans="1:11" x14ac:dyDescent="0.3">
      <c r="A30" s="4" t="s">
        <v>134</v>
      </c>
      <c r="B30" t="s">
        <v>136</v>
      </c>
    </row>
    <row r="31" spans="1:11" x14ac:dyDescent="0.3">
      <c r="A31" s="5" t="s">
        <v>12</v>
      </c>
      <c r="B31">
        <v>272</v>
      </c>
    </row>
    <row r="32" spans="1:11" x14ac:dyDescent="0.3">
      <c r="A32" s="5" t="s">
        <v>18</v>
      </c>
      <c r="B32">
        <v>228</v>
      </c>
    </row>
    <row r="33" spans="1:11" x14ac:dyDescent="0.3">
      <c r="A33" s="5" t="s">
        <v>135</v>
      </c>
      <c r="B33">
        <v>500</v>
      </c>
    </row>
    <row r="36" spans="1:11" x14ac:dyDescent="0.3">
      <c r="E36" s="8" t="s">
        <v>141</v>
      </c>
      <c r="F36" s="8"/>
      <c r="G36" s="8"/>
      <c r="H36" s="8"/>
      <c r="I36" s="8"/>
      <c r="J36" s="8"/>
      <c r="K36" s="8"/>
    </row>
    <row r="38" spans="1:11" x14ac:dyDescent="0.3">
      <c r="A38" s="4" t="s">
        <v>134</v>
      </c>
      <c r="B38" t="s">
        <v>137</v>
      </c>
    </row>
    <row r="39" spans="1:11" x14ac:dyDescent="0.3">
      <c r="A39" s="5" t="s">
        <v>27</v>
      </c>
      <c r="B39" s="3">
        <v>69530.103896103901</v>
      </c>
    </row>
    <row r="40" spans="1:11" x14ac:dyDescent="0.3">
      <c r="A40" s="5" t="s">
        <v>51</v>
      </c>
      <c r="B40" s="3">
        <v>68694.506493506487</v>
      </c>
    </row>
    <row r="41" spans="1:11" x14ac:dyDescent="0.3">
      <c r="A41" s="5" t="s">
        <v>24</v>
      </c>
      <c r="B41" s="3">
        <v>69826.456790123455</v>
      </c>
    </row>
    <row r="42" spans="1:11" x14ac:dyDescent="0.3">
      <c r="A42" s="5" t="s">
        <v>19</v>
      </c>
      <c r="B42" s="3">
        <v>70573.988372093023</v>
      </c>
    </row>
    <row r="43" spans="1:11" x14ac:dyDescent="0.3">
      <c r="A43" s="5" t="s">
        <v>13</v>
      </c>
      <c r="B43" s="3">
        <v>72683.686868686869</v>
      </c>
    </row>
    <row r="44" spans="1:11" x14ac:dyDescent="0.3">
      <c r="A44" s="5" t="s">
        <v>45</v>
      </c>
      <c r="B44" s="3">
        <v>71046.862500000003</v>
      </c>
    </row>
    <row r="45" spans="1:11" x14ac:dyDescent="0.3">
      <c r="A45" s="5" t="s">
        <v>135</v>
      </c>
      <c r="B45" s="3">
        <v>70496.070000000007</v>
      </c>
    </row>
    <row r="49" spans="1:11" x14ac:dyDescent="0.3">
      <c r="E49" s="8" t="s">
        <v>142</v>
      </c>
      <c r="F49" s="8"/>
      <c r="G49" s="8"/>
      <c r="H49" s="8"/>
      <c r="I49" s="8"/>
      <c r="J49" s="8"/>
      <c r="K49" s="8"/>
    </row>
    <row r="52" spans="1:11" x14ac:dyDescent="0.3">
      <c r="A52" s="4" t="s">
        <v>134</v>
      </c>
      <c r="B52" t="s">
        <v>136</v>
      </c>
    </row>
    <row r="53" spans="1:11" x14ac:dyDescent="0.3">
      <c r="A53" s="5" t="s">
        <v>28</v>
      </c>
      <c r="B53">
        <v>77</v>
      </c>
    </row>
    <row r="54" spans="1:11" x14ac:dyDescent="0.3">
      <c r="A54" s="5" t="s">
        <v>25</v>
      </c>
      <c r="B54">
        <v>81</v>
      </c>
    </row>
    <row r="55" spans="1:11" x14ac:dyDescent="0.3">
      <c r="A55" s="5" t="s">
        <v>52</v>
      </c>
      <c r="B55">
        <v>77</v>
      </c>
    </row>
    <row r="56" spans="1:11" x14ac:dyDescent="0.3">
      <c r="A56" s="5" t="s">
        <v>20</v>
      </c>
      <c r="B56">
        <v>86</v>
      </c>
    </row>
    <row r="57" spans="1:11" x14ac:dyDescent="0.3">
      <c r="A57" s="5" t="s">
        <v>14</v>
      </c>
      <c r="B57">
        <v>99</v>
      </c>
    </row>
    <row r="58" spans="1:11" x14ac:dyDescent="0.3">
      <c r="A58" s="5" t="s">
        <v>46</v>
      </c>
      <c r="B58">
        <v>80</v>
      </c>
    </row>
    <row r="59" spans="1:11" x14ac:dyDescent="0.3">
      <c r="A59" s="5" t="s">
        <v>135</v>
      </c>
      <c r="B59">
        <v>500</v>
      </c>
    </row>
    <row r="63" spans="1:11" x14ac:dyDescent="0.3">
      <c r="E63" s="8" t="s">
        <v>143</v>
      </c>
      <c r="F63" s="8"/>
      <c r="G63" s="8"/>
      <c r="H63" s="8"/>
      <c r="I63" s="8"/>
      <c r="J63" s="8"/>
      <c r="K63" s="8"/>
    </row>
    <row r="66" spans="1:11" x14ac:dyDescent="0.3">
      <c r="A66" s="4" t="s">
        <v>134</v>
      </c>
      <c r="B66" t="s">
        <v>136</v>
      </c>
    </row>
    <row r="67" spans="1:11" x14ac:dyDescent="0.3">
      <c r="A67" s="5" t="s">
        <v>144</v>
      </c>
      <c r="B67">
        <v>60</v>
      </c>
    </row>
    <row r="68" spans="1:11" x14ac:dyDescent="0.3">
      <c r="A68" s="5" t="s">
        <v>145</v>
      </c>
      <c r="B68">
        <v>64</v>
      </c>
    </row>
    <row r="69" spans="1:11" x14ac:dyDescent="0.3">
      <c r="A69" s="5" t="s">
        <v>146</v>
      </c>
      <c r="B69">
        <v>64</v>
      </c>
    </row>
    <row r="70" spans="1:11" x14ac:dyDescent="0.3">
      <c r="A70" s="5" t="s">
        <v>147</v>
      </c>
      <c r="B70">
        <v>64</v>
      </c>
    </row>
    <row r="71" spans="1:11" x14ac:dyDescent="0.3">
      <c r="A71" s="5" t="s">
        <v>148</v>
      </c>
      <c r="B71">
        <v>68</v>
      </c>
    </row>
    <row r="72" spans="1:11" x14ac:dyDescent="0.3">
      <c r="A72" s="5" t="s">
        <v>149</v>
      </c>
      <c r="B72">
        <v>60</v>
      </c>
    </row>
    <row r="73" spans="1:11" x14ac:dyDescent="0.3">
      <c r="A73" s="5" t="s">
        <v>150</v>
      </c>
      <c r="B73">
        <v>63</v>
      </c>
    </row>
    <row r="74" spans="1:11" x14ac:dyDescent="0.3">
      <c r="A74" s="5" t="s">
        <v>151</v>
      </c>
      <c r="B74">
        <v>57</v>
      </c>
    </row>
    <row r="75" spans="1:11" x14ac:dyDescent="0.3">
      <c r="A75" s="5" t="s">
        <v>135</v>
      </c>
      <c r="B75">
        <v>500</v>
      </c>
    </row>
    <row r="79" spans="1:11" x14ac:dyDescent="0.3">
      <c r="E79" s="8" t="s">
        <v>152</v>
      </c>
      <c r="F79" s="8"/>
      <c r="G79" s="8"/>
      <c r="H79" s="8"/>
      <c r="I79" s="8"/>
      <c r="J79" s="8"/>
      <c r="K79" s="8"/>
    </row>
    <row r="82" spans="1:2" x14ac:dyDescent="0.3">
      <c r="A82" s="4" t="s">
        <v>134</v>
      </c>
      <c r="B82" t="s">
        <v>136</v>
      </c>
    </row>
    <row r="83" spans="1:2" x14ac:dyDescent="0.3">
      <c r="A83" s="5" t="s">
        <v>22</v>
      </c>
      <c r="B83">
        <v>258</v>
      </c>
    </row>
    <row r="84" spans="1:2" x14ac:dyDescent="0.3">
      <c r="A84" s="5" t="s">
        <v>16</v>
      </c>
      <c r="B84">
        <v>242</v>
      </c>
    </row>
    <row r="85" spans="1:2" x14ac:dyDescent="0.3">
      <c r="A85" s="5" t="s">
        <v>135</v>
      </c>
      <c r="B85">
        <v>500</v>
      </c>
    </row>
  </sheetData>
  <mergeCells count="6">
    <mergeCell ref="E79:K79"/>
    <mergeCell ref="E17:K17"/>
    <mergeCell ref="E27:K27"/>
    <mergeCell ref="E36:K36"/>
    <mergeCell ref="E49:K49"/>
    <mergeCell ref="E63:K63"/>
  </mergeCells>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workbookViewId="0">
      <selection activeCell="D1" sqref="A1:K501"/>
    </sheetView>
  </sheetViews>
  <sheetFormatPr defaultRowHeight="14.4" x14ac:dyDescent="0.3"/>
  <cols>
    <col min="1" max="11" width="15.6640625"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x14ac:dyDescent="0.3">
      <c r="A2">
        <v>1001</v>
      </c>
      <c r="B2" t="s">
        <v>11</v>
      </c>
      <c r="C2" t="s">
        <v>12</v>
      </c>
      <c r="D2">
        <v>37</v>
      </c>
      <c r="E2" t="s">
        <v>13</v>
      </c>
      <c r="F2" t="s">
        <v>14</v>
      </c>
      <c r="G2" s="3">
        <v>54256</v>
      </c>
      <c r="H2">
        <v>4</v>
      </c>
      <c r="I2" s="1">
        <v>43793</v>
      </c>
      <c r="J2" t="s">
        <v>15</v>
      </c>
      <c r="K2" t="s">
        <v>16</v>
      </c>
    </row>
    <row r="3" spans="1:11" x14ac:dyDescent="0.3">
      <c r="A3">
        <v>1002</v>
      </c>
      <c r="B3" t="s">
        <v>17</v>
      </c>
      <c r="C3" t="s">
        <v>18</v>
      </c>
      <c r="D3">
        <v>27</v>
      </c>
      <c r="E3" t="s">
        <v>19</v>
      </c>
      <c r="F3" t="s">
        <v>20</v>
      </c>
      <c r="G3" s="3">
        <v>53657</v>
      </c>
      <c r="H3">
        <v>7</v>
      </c>
      <c r="I3" s="1">
        <v>43350</v>
      </c>
      <c r="J3" t="s">
        <v>21</v>
      </c>
      <c r="K3" t="s">
        <v>22</v>
      </c>
    </row>
    <row r="4" spans="1:11" x14ac:dyDescent="0.3">
      <c r="A4">
        <v>1003</v>
      </c>
      <c r="B4" t="s">
        <v>23</v>
      </c>
      <c r="C4" t="s">
        <v>12</v>
      </c>
      <c r="D4">
        <v>22</v>
      </c>
      <c r="E4" t="s">
        <v>24</v>
      </c>
      <c r="F4" t="s">
        <v>25</v>
      </c>
      <c r="G4" s="3">
        <v>45926</v>
      </c>
      <c r="H4">
        <v>22</v>
      </c>
      <c r="I4" s="1">
        <v>45452</v>
      </c>
      <c r="J4" t="s">
        <v>26</v>
      </c>
      <c r="K4" t="s">
        <v>16</v>
      </c>
    </row>
    <row r="5" spans="1:11" x14ac:dyDescent="0.3">
      <c r="A5">
        <v>1004</v>
      </c>
      <c r="B5" t="s">
        <v>11</v>
      </c>
      <c r="C5" t="s">
        <v>12</v>
      </c>
      <c r="D5">
        <v>28</v>
      </c>
      <c r="E5" t="s">
        <v>27</v>
      </c>
      <c r="F5" t="s">
        <v>28</v>
      </c>
      <c r="G5" s="3">
        <v>72052</v>
      </c>
      <c r="H5">
        <v>27</v>
      </c>
      <c r="I5" s="1">
        <v>45208</v>
      </c>
      <c r="J5" t="s">
        <v>29</v>
      </c>
      <c r="K5" t="s">
        <v>16</v>
      </c>
    </row>
    <row r="6" spans="1:11" x14ac:dyDescent="0.3">
      <c r="A6">
        <v>1005</v>
      </c>
      <c r="B6" t="s">
        <v>23</v>
      </c>
      <c r="C6" t="s">
        <v>18</v>
      </c>
      <c r="D6">
        <v>46</v>
      </c>
      <c r="E6" t="s">
        <v>13</v>
      </c>
      <c r="F6" t="s">
        <v>14</v>
      </c>
      <c r="G6" s="3">
        <v>35328</v>
      </c>
      <c r="H6">
        <v>17</v>
      </c>
      <c r="I6" s="1">
        <v>44885</v>
      </c>
      <c r="J6" t="s">
        <v>29</v>
      </c>
      <c r="K6" t="s">
        <v>22</v>
      </c>
    </row>
    <row r="7" spans="1:11" x14ac:dyDescent="0.3">
      <c r="A7">
        <v>1006</v>
      </c>
      <c r="B7" t="s">
        <v>30</v>
      </c>
      <c r="C7" t="s">
        <v>18</v>
      </c>
      <c r="D7">
        <v>36</v>
      </c>
      <c r="E7" t="s">
        <v>19</v>
      </c>
      <c r="F7" t="s">
        <v>20</v>
      </c>
      <c r="G7" s="3">
        <v>62930</v>
      </c>
      <c r="H7">
        <v>2</v>
      </c>
      <c r="I7" s="1">
        <v>44240</v>
      </c>
      <c r="J7" t="s">
        <v>31</v>
      </c>
      <c r="K7" t="s">
        <v>22</v>
      </c>
    </row>
    <row r="8" spans="1:11" x14ac:dyDescent="0.3">
      <c r="A8">
        <v>1007</v>
      </c>
      <c r="B8" t="s">
        <v>32</v>
      </c>
      <c r="C8" t="s">
        <v>12</v>
      </c>
      <c r="D8">
        <v>44</v>
      </c>
      <c r="E8" t="s">
        <v>13</v>
      </c>
      <c r="F8" t="s">
        <v>14</v>
      </c>
      <c r="G8" s="3">
        <v>52460</v>
      </c>
      <c r="H8">
        <v>21</v>
      </c>
      <c r="I8" s="1">
        <v>44917</v>
      </c>
      <c r="J8" t="s">
        <v>21</v>
      </c>
      <c r="K8" t="s">
        <v>16</v>
      </c>
    </row>
    <row r="9" spans="1:11" x14ac:dyDescent="0.3">
      <c r="A9">
        <v>1008</v>
      </c>
      <c r="B9" t="s">
        <v>33</v>
      </c>
      <c r="C9" t="s">
        <v>18</v>
      </c>
      <c r="D9">
        <v>32</v>
      </c>
      <c r="E9" t="s">
        <v>19</v>
      </c>
      <c r="F9" t="s">
        <v>20</v>
      </c>
      <c r="G9" s="3">
        <v>85589</v>
      </c>
      <c r="H9">
        <v>12</v>
      </c>
      <c r="I9" s="1">
        <v>44888</v>
      </c>
      <c r="J9" t="s">
        <v>15</v>
      </c>
      <c r="K9" t="s">
        <v>16</v>
      </c>
    </row>
    <row r="10" spans="1:11" x14ac:dyDescent="0.3">
      <c r="A10">
        <v>1009</v>
      </c>
      <c r="B10" t="s">
        <v>34</v>
      </c>
      <c r="C10" t="s">
        <v>18</v>
      </c>
      <c r="D10">
        <v>24</v>
      </c>
      <c r="E10" t="s">
        <v>13</v>
      </c>
      <c r="F10" t="s">
        <v>14</v>
      </c>
      <c r="G10" s="3">
        <v>66347</v>
      </c>
      <c r="H10">
        <v>12</v>
      </c>
      <c r="I10" s="1">
        <v>44599</v>
      </c>
      <c r="J10" t="s">
        <v>15</v>
      </c>
      <c r="K10" t="s">
        <v>22</v>
      </c>
    </row>
    <row r="11" spans="1:11" x14ac:dyDescent="0.3">
      <c r="A11">
        <v>1010</v>
      </c>
      <c r="B11" t="s">
        <v>35</v>
      </c>
      <c r="C11" t="s">
        <v>12</v>
      </c>
      <c r="D11">
        <v>31</v>
      </c>
      <c r="E11" t="s">
        <v>24</v>
      </c>
      <c r="F11" t="s">
        <v>25</v>
      </c>
      <c r="G11" s="3">
        <v>59718</v>
      </c>
      <c r="H11">
        <v>4</v>
      </c>
      <c r="I11" s="1">
        <v>44548</v>
      </c>
      <c r="J11" t="s">
        <v>15</v>
      </c>
      <c r="K11" t="s">
        <v>22</v>
      </c>
    </row>
    <row r="12" spans="1:11" x14ac:dyDescent="0.3">
      <c r="A12">
        <v>1011</v>
      </c>
      <c r="B12" t="s">
        <v>36</v>
      </c>
      <c r="C12" t="s">
        <v>12</v>
      </c>
      <c r="D12">
        <v>45</v>
      </c>
      <c r="E12" t="s">
        <v>13</v>
      </c>
      <c r="F12" t="s">
        <v>14</v>
      </c>
      <c r="G12" s="3">
        <v>53746</v>
      </c>
      <c r="H12">
        <v>4</v>
      </c>
      <c r="I12" s="1">
        <v>45713</v>
      </c>
      <c r="J12" t="s">
        <v>37</v>
      </c>
      <c r="K12" t="s">
        <v>16</v>
      </c>
    </row>
    <row r="13" spans="1:11" x14ac:dyDescent="0.3">
      <c r="A13">
        <v>1012</v>
      </c>
      <c r="B13" t="s">
        <v>38</v>
      </c>
      <c r="C13" t="s">
        <v>18</v>
      </c>
      <c r="D13">
        <v>46</v>
      </c>
      <c r="E13" t="s">
        <v>24</v>
      </c>
      <c r="F13" t="s">
        <v>25</v>
      </c>
      <c r="G13" s="3">
        <v>75019</v>
      </c>
      <c r="H13">
        <v>19</v>
      </c>
      <c r="I13" s="1">
        <v>45909</v>
      </c>
      <c r="J13" t="s">
        <v>15</v>
      </c>
      <c r="K13" t="s">
        <v>16</v>
      </c>
    </row>
    <row r="14" spans="1:11" x14ac:dyDescent="0.3">
      <c r="A14">
        <v>1013</v>
      </c>
      <c r="B14" t="s">
        <v>39</v>
      </c>
      <c r="C14" t="s">
        <v>12</v>
      </c>
      <c r="D14">
        <v>43</v>
      </c>
      <c r="E14" t="s">
        <v>13</v>
      </c>
      <c r="F14" t="s">
        <v>14</v>
      </c>
      <c r="G14" s="3">
        <v>39621</v>
      </c>
      <c r="H14">
        <v>9</v>
      </c>
      <c r="I14" s="1">
        <v>45366</v>
      </c>
      <c r="J14" t="s">
        <v>37</v>
      </c>
      <c r="K14" t="s">
        <v>22</v>
      </c>
    </row>
    <row r="15" spans="1:11" x14ac:dyDescent="0.3">
      <c r="A15">
        <v>1014</v>
      </c>
      <c r="B15" t="s">
        <v>33</v>
      </c>
      <c r="C15" t="s">
        <v>18</v>
      </c>
      <c r="D15">
        <v>41</v>
      </c>
      <c r="E15" t="s">
        <v>19</v>
      </c>
      <c r="F15" t="s">
        <v>20</v>
      </c>
      <c r="G15" s="3">
        <v>108748</v>
      </c>
      <c r="H15">
        <v>16</v>
      </c>
      <c r="I15" s="1">
        <v>44267</v>
      </c>
      <c r="J15" t="s">
        <v>29</v>
      </c>
      <c r="K15" t="s">
        <v>16</v>
      </c>
    </row>
    <row r="16" spans="1:11" x14ac:dyDescent="0.3">
      <c r="A16">
        <v>1015</v>
      </c>
      <c r="B16" t="s">
        <v>40</v>
      </c>
      <c r="C16" t="s">
        <v>12</v>
      </c>
      <c r="D16">
        <v>53</v>
      </c>
      <c r="E16" t="s">
        <v>19</v>
      </c>
      <c r="F16" t="s">
        <v>20</v>
      </c>
      <c r="G16" s="3">
        <v>27552</v>
      </c>
      <c r="H16">
        <v>3</v>
      </c>
      <c r="I16" s="1">
        <v>45054</v>
      </c>
      <c r="J16" t="s">
        <v>37</v>
      </c>
      <c r="K16" t="s">
        <v>16</v>
      </c>
    </row>
    <row r="17" spans="1:11" x14ac:dyDescent="0.3">
      <c r="A17">
        <v>1016</v>
      </c>
      <c r="B17" t="s">
        <v>41</v>
      </c>
      <c r="C17" t="s">
        <v>12</v>
      </c>
      <c r="D17">
        <v>26</v>
      </c>
      <c r="E17" t="s">
        <v>19</v>
      </c>
      <c r="F17" t="s">
        <v>20</v>
      </c>
      <c r="G17" s="3">
        <v>94822</v>
      </c>
      <c r="H17">
        <v>24</v>
      </c>
      <c r="I17" s="1">
        <v>43912</v>
      </c>
      <c r="J17" t="s">
        <v>42</v>
      </c>
      <c r="K17" t="s">
        <v>16</v>
      </c>
    </row>
    <row r="18" spans="1:11" x14ac:dyDescent="0.3">
      <c r="A18">
        <v>1017</v>
      </c>
      <c r="B18" t="s">
        <v>43</v>
      </c>
      <c r="C18" t="s">
        <v>12</v>
      </c>
      <c r="D18">
        <v>35</v>
      </c>
      <c r="E18" t="s">
        <v>27</v>
      </c>
      <c r="F18" t="s">
        <v>28</v>
      </c>
      <c r="G18" s="3">
        <v>95686</v>
      </c>
      <c r="H18">
        <v>24</v>
      </c>
      <c r="I18" s="1">
        <v>44540</v>
      </c>
      <c r="J18" t="s">
        <v>42</v>
      </c>
      <c r="K18" t="s">
        <v>22</v>
      </c>
    </row>
    <row r="19" spans="1:11" x14ac:dyDescent="0.3">
      <c r="A19">
        <v>1018</v>
      </c>
      <c r="B19" t="s">
        <v>44</v>
      </c>
      <c r="C19" t="s">
        <v>18</v>
      </c>
      <c r="D19">
        <v>37</v>
      </c>
      <c r="E19" t="s">
        <v>45</v>
      </c>
      <c r="F19" t="s">
        <v>46</v>
      </c>
      <c r="G19" s="3">
        <v>54451</v>
      </c>
      <c r="H19">
        <v>2</v>
      </c>
      <c r="I19" s="1">
        <v>44945</v>
      </c>
      <c r="J19" t="s">
        <v>15</v>
      </c>
      <c r="K19" t="s">
        <v>16</v>
      </c>
    </row>
    <row r="20" spans="1:11" x14ac:dyDescent="0.3">
      <c r="A20">
        <v>1019</v>
      </c>
      <c r="B20" t="s">
        <v>47</v>
      </c>
      <c r="C20" t="s">
        <v>18</v>
      </c>
      <c r="D20">
        <v>25</v>
      </c>
      <c r="E20" t="s">
        <v>19</v>
      </c>
      <c r="F20" t="s">
        <v>20</v>
      </c>
      <c r="G20" s="3">
        <v>55007</v>
      </c>
      <c r="H20">
        <v>2</v>
      </c>
      <c r="I20" s="1">
        <v>43254</v>
      </c>
      <c r="J20" t="s">
        <v>15</v>
      </c>
      <c r="K20" t="s">
        <v>16</v>
      </c>
    </row>
    <row r="21" spans="1:11" x14ac:dyDescent="0.3">
      <c r="A21">
        <v>1020</v>
      </c>
      <c r="B21" t="s">
        <v>48</v>
      </c>
      <c r="C21" t="s">
        <v>18</v>
      </c>
      <c r="D21">
        <v>52</v>
      </c>
      <c r="E21" t="s">
        <v>27</v>
      </c>
      <c r="F21" t="s">
        <v>28</v>
      </c>
      <c r="G21" s="3">
        <v>56850</v>
      </c>
      <c r="H21">
        <v>25</v>
      </c>
      <c r="I21" s="1">
        <v>45845</v>
      </c>
      <c r="J21" t="s">
        <v>37</v>
      </c>
      <c r="K21" t="s">
        <v>16</v>
      </c>
    </row>
    <row r="22" spans="1:11" x14ac:dyDescent="0.3">
      <c r="A22">
        <v>1021</v>
      </c>
      <c r="B22" t="s">
        <v>49</v>
      </c>
      <c r="C22" t="s">
        <v>12</v>
      </c>
      <c r="D22">
        <v>48</v>
      </c>
      <c r="E22" t="s">
        <v>13</v>
      </c>
      <c r="F22" t="s">
        <v>14</v>
      </c>
      <c r="G22" s="3">
        <v>86213</v>
      </c>
      <c r="H22">
        <v>27</v>
      </c>
      <c r="I22" s="1">
        <v>43425</v>
      </c>
      <c r="J22" t="s">
        <v>21</v>
      </c>
      <c r="K22" t="s">
        <v>16</v>
      </c>
    </row>
    <row r="23" spans="1:11" x14ac:dyDescent="0.3">
      <c r="A23">
        <v>1022</v>
      </c>
      <c r="B23" t="s">
        <v>50</v>
      </c>
      <c r="C23" t="s">
        <v>18</v>
      </c>
      <c r="D23">
        <v>37</v>
      </c>
      <c r="E23" t="s">
        <v>51</v>
      </c>
      <c r="F23" t="s">
        <v>52</v>
      </c>
      <c r="G23" s="3">
        <v>50112</v>
      </c>
      <c r="H23">
        <v>6</v>
      </c>
      <c r="I23" s="1">
        <v>45730</v>
      </c>
      <c r="J23" t="s">
        <v>26</v>
      </c>
      <c r="K23" t="s">
        <v>22</v>
      </c>
    </row>
    <row r="24" spans="1:11" x14ac:dyDescent="0.3">
      <c r="A24">
        <v>1023</v>
      </c>
      <c r="B24" t="s">
        <v>47</v>
      </c>
      <c r="C24" t="s">
        <v>12</v>
      </c>
      <c r="D24">
        <v>28</v>
      </c>
      <c r="E24" t="s">
        <v>45</v>
      </c>
      <c r="F24" t="s">
        <v>46</v>
      </c>
      <c r="G24" s="3">
        <v>31630</v>
      </c>
      <c r="H24">
        <v>20</v>
      </c>
      <c r="I24" s="1">
        <v>43156</v>
      </c>
      <c r="J24" t="s">
        <v>29</v>
      </c>
      <c r="K24" t="s">
        <v>16</v>
      </c>
    </row>
    <row r="25" spans="1:11" x14ac:dyDescent="0.3">
      <c r="A25">
        <v>1024</v>
      </c>
      <c r="B25" t="s">
        <v>53</v>
      </c>
      <c r="C25" t="s">
        <v>12</v>
      </c>
      <c r="D25">
        <v>35</v>
      </c>
      <c r="E25" t="s">
        <v>24</v>
      </c>
      <c r="F25" t="s">
        <v>25</v>
      </c>
      <c r="G25" s="3">
        <v>77565</v>
      </c>
      <c r="H25">
        <v>28</v>
      </c>
      <c r="I25" s="1">
        <v>43172</v>
      </c>
      <c r="J25" t="s">
        <v>37</v>
      </c>
      <c r="K25" t="s">
        <v>22</v>
      </c>
    </row>
    <row r="26" spans="1:11" x14ac:dyDescent="0.3">
      <c r="A26">
        <v>1025</v>
      </c>
      <c r="B26" t="s">
        <v>54</v>
      </c>
      <c r="C26" t="s">
        <v>12</v>
      </c>
      <c r="D26">
        <v>53</v>
      </c>
      <c r="E26" t="s">
        <v>27</v>
      </c>
      <c r="F26" t="s">
        <v>28</v>
      </c>
      <c r="G26" s="3">
        <v>45289</v>
      </c>
      <c r="H26">
        <v>6</v>
      </c>
      <c r="I26" s="1">
        <v>44653</v>
      </c>
      <c r="J26" t="s">
        <v>15</v>
      </c>
      <c r="K26" t="s">
        <v>16</v>
      </c>
    </row>
    <row r="27" spans="1:11" x14ac:dyDescent="0.3">
      <c r="A27">
        <v>1026</v>
      </c>
      <c r="B27" t="s">
        <v>34</v>
      </c>
      <c r="C27" t="s">
        <v>18</v>
      </c>
      <c r="D27">
        <v>52</v>
      </c>
      <c r="E27" t="s">
        <v>13</v>
      </c>
      <c r="F27" t="s">
        <v>14</v>
      </c>
      <c r="G27" s="3">
        <v>90909</v>
      </c>
      <c r="H27">
        <v>29</v>
      </c>
      <c r="I27" s="1">
        <v>43847</v>
      </c>
      <c r="J27" t="s">
        <v>37</v>
      </c>
      <c r="K27" t="s">
        <v>16</v>
      </c>
    </row>
    <row r="28" spans="1:11" x14ac:dyDescent="0.3">
      <c r="A28">
        <v>1027</v>
      </c>
      <c r="B28" t="s">
        <v>55</v>
      </c>
      <c r="C28" t="s">
        <v>18</v>
      </c>
      <c r="D28">
        <v>47</v>
      </c>
      <c r="E28" t="s">
        <v>51</v>
      </c>
      <c r="F28" t="s">
        <v>52</v>
      </c>
      <c r="G28" s="3">
        <v>40713</v>
      </c>
      <c r="H28">
        <v>30</v>
      </c>
      <c r="I28" s="1">
        <v>44489</v>
      </c>
      <c r="J28" t="s">
        <v>37</v>
      </c>
      <c r="K28" t="s">
        <v>16</v>
      </c>
    </row>
    <row r="29" spans="1:11" x14ac:dyDescent="0.3">
      <c r="A29">
        <v>1028</v>
      </c>
      <c r="B29" t="s">
        <v>56</v>
      </c>
      <c r="C29" t="s">
        <v>12</v>
      </c>
      <c r="D29">
        <v>38</v>
      </c>
      <c r="E29" t="s">
        <v>45</v>
      </c>
      <c r="F29" t="s">
        <v>46</v>
      </c>
      <c r="G29" s="3">
        <v>51772</v>
      </c>
      <c r="H29">
        <v>21</v>
      </c>
      <c r="I29" s="1">
        <v>45025</v>
      </c>
      <c r="J29" t="s">
        <v>42</v>
      </c>
      <c r="K29" t="s">
        <v>16</v>
      </c>
    </row>
    <row r="30" spans="1:11" x14ac:dyDescent="0.3">
      <c r="A30">
        <v>1029</v>
      </c>
      <c r="B30" t="s">
        <v>57</v>
      </c>
      <c r="C30" t="s">
        <v>12</v>
      </c>
      <c r="D30">
        <v>26</v>
      </c>
      <c r="E30" t="s">
        <v>13</v>
      </c>
      <c r="F30" t="s">
        <v>14</v>
      </c>
      <c r="G30" s="3">
        <v>26220</v>
      </c>
      <c r="H30">
        <v>14</v>
      </c>
      <c r="I30" s="1">
        <v>43514</v>
      </c>
      <c r="J30" t="s">
        <v>26</v>
      </c>
      <c r="K30" t="s">
        <v>22</v>
      </c>
    </row>
    <row r="31" spans="1:11" x14ac:dyDescent="0.3">
      <c r="A31">
        <v>1030</v>
      </c>
      <c r="B31" t="s">
        <v>58</v>
      </c>
      <c r="C31" t="s">
        <v>18</v>
      </c>
      <c r="D31">
        <v>45</v>
      </c>
      <c r="E31" t="s">
        <v>24</v>
      </c>
      <c r="F31" t="s">
        <v>25</v>
      </c>
      <c r="G31" s="3">
        <v>62353</v>
      </c>
      <c r="H31">
        <v>5</v>
      </c>
      <c r="I31" s="1">
        <v>45923</v>
      </c>
      <c r="J31" t="s">
        <v>31</v>
      </c>
      <c r="K31" t="s">
        <v>16</v>
      </c>
    </row>
    <row r="32" spans="1:11" x14ac:dyDescent="0.3">
      <c r="A32">
        <v>1031</v>
      </c>
      <c r="B32" t="s">
        <v>59</v>
      </c>
      <c r="C32" t="s">
        <v>18</v>
      </c>
      <c r="D32">
        <v>30</v>
      </c>
      <c r="E32" t="s">
        <v>13</v>
      </c>
      <c r="F32" t="s">
        <v>14</v>
      </c>
      <c r="G32" s="3">
        <v>59664</v>
      </c>
      <c r="H32">
        <v>3</v>
      </c>
      <c r="I32" s="1">
        <v>43817</v>
      </c>
      <c r="J32" t="s">
        <v>26</v>
      </c>
      <c r="K32" t="s">
        <v>22</v>
      </c>
    </row>
    <row r="33" spans="1:11" x14ac:dyDescent="0.3">
      <c r="A33">
        <v>1032</v>
      </c>
      <c r="B33" t="s">
        <v>60</v>
      </c>
      <c r="C33" t="s">
        <v>12</v>
      </c>
      <c r="D33">
        <v>35</v>
      </c>
      <c r="E33" t="s">
        <v>27</v>
      </c>
      <c r="F33" t="s">
        <v>28</v>
      </c>
      <c r="G33" s="3">
        <v>115111</v>
      </c>
      <c r="H33">
        <v>20</v>
      </c>
      <c r="I33" s="1">
        <v>44820</v>
      </c>
      <c r="J33" t="s">
        <v>31</v>
      </c>
      <c r="K33" t="s">
        <v>16</v>
      </c>
    </row>
    <row r="34" spans="1:11" x14ac:dyDescent="0.3">
      <c r="A34">
        <v>1033</v>
      </c>
      <c r="B34" t="s">
        <v>49</v>
      </c>
      <c r="C34" t="s">
        <v>18</v>
      </c>
      <c r="D34">
        <v>22</v>
      </c>
      <c r="E34" t="s">
        <v>51</v>
      </c>
      <c r="F34" t="s">
        <v>52</v>
      </c>
      <c r="G34" s="3">
        <v>68719</v>
      </c>
      <c r="H34">
        <v>24</v>
      </c>
      <c r="I34" s="1">
        <v>44144</v>
      </c>
      <c r="J34" t="s">
        <v>26</v>
      </c>
      <c r="K34" t="s">
        <v>22</v>
      </c>
    </row>
    <row r="35" spans="1:11" x14ac:dyDescent="0.3">
      <c r="A35">
        <v>1034</v>
      </c>
      <c r="B35" t="s">
        <v>61</v>
      </c>
      <c r="C35" t="s">
        <v>18</v>
      </c>
      <c r="D35">
        <v>29</v>
      </c>
      <c r="E35" t="s">
        <v>19</v>
      </c>
      <c r="F35" t="s">
        <v>20</v>
      </c>
      <c r="G35" s="3">
        <v>34862</v>
      </c>
      <c r="H35">
        <v>30</v>
      </c>
      <c r="I35" s="1">
        <v>44076</v>
      </c>
      <c r="J35" t="s">
        <v>29</v>
      </c>
      <c r="K35" t="s">
        <v>22</v>
      </c>
    </row>
    <row r="36" spans="1:11" x14ac:dyDescent="0.3">
      <c r="A36">
        <v>1035</v>
      </c>
      <c r="B36" t="s">
        <v>62</v>
      </c>
      <c r="C36" t="s">
        <v>12</v>
      </c>
      <c r="D36">
        <v>30</v>
      </c>
      <c r="E36" t="s">
        <v>19</v>
      </c>
      <c r="F36" t="s">
        <v>20</v>
      </c>
      <c r="G36" s="3">
        <v>30482</v>
      </c>
      <c r="H36">
        <v>9</v>
      </c>
      <c r="I36" s="1">
        <v>44938</v>
      </c>
      <c r="J36" t="s">
        <v>26</v>
      </c>
      <c r="K36" t="s">
        <v>16</v>
      </c>
    </row>
    <row r="37" spans="1:11" x14ac:dyDescent="0.3">
      <c r="A37">
        <v>1036</v>
      </c>
      <c r="B37" t="s">
        <v>63</v>
      </c>
      <c r="C37" t="s">
        <v>12</v>
      </c>
      <c r="D37">
        <v>31</v>
      </c>
      <c r="E37" t="s">
        <v>13</v>
      </c>
      <c r="F37" t="s">
        <v>14</v>
      </c>
      <c r="G37" s="3">
        <v>56029</v>
      </c>
      <c r="H37">
        <v>27</v>
      </c>
      <c r="I37" s="1">
        <v>43904</v>
      </c>
      <c r="J37" t="s">
        <v>37</v>
      </c>
      <c r="K37" t="s">
        <v>16</v>
      </c>
    </row>
    <row r="38" spans="1:11" x14ac:dyDescent="0.3">
      <c r="A38">
        <v>1037</v>
      </c>
      <c r="B38" t="s">
        <v>64</v>
      </c>
      <c r="C38" t="s">
        <v>18</v>
      </c>
      <c r="D38">
        <v>39</v>
      </c>
      <c r="E38" t="s">
        <v>13</v>
      </c>
      <c r="F38" t="s">
        <v>14</v>
      </c>
      <c r="G38" s="3">
        <v>45866</v>
      </c>
      <c r="H38">
        <v>25</v>
      </c>
      <c r="I38" s="1">
        <v>43674</v>
      </c>
      <c r="J38" t="s">
        <v>37</v>
      </c>
      <c r="K38" t="s">
        <v>22</v>
      </c>
    </row>
    <row r="39" spans="1:11" x14ac:dyDescent="0.3">
      <c r="A39">
        <v>1038</v>
      </c>
      <c r="B39" t="s">
        <v>65</v>
      </c>
      <c r="C39" t="s">
        <v>12</v>
      </c>
      <c r="D39">
        <v>41</v>
      </c>
      <c r="E39" t="s">
        <v>24</v>
      </c>
      <c r="F39" t="s">
        <v>25</v>
      </c>
      <c r="G39" s="3">
        <v>54831</v>
      </c>
      <c r="H39">
        <v>7</v>
      </c>
      <c r="I39" s="1">
        <v>43411</v>
      </c>
      <c r="J39" t="s">
        <v>42</v>
      </c>
      <c r="K39" t="s">
        <v>22</v>
      </c>
    </row>
    <row r="40" spans="1:11" x14ac:dyDescent="0.3">
      <c r="A40">
        <v>1039</v>
      </c>
      <c r="B40" t="s">
        <v>66</v>
      </c>
      <c r="C40" t="s">
        <v>12</v>
      </c>
      <c r="D40">
        <v>54</v>
      </c>
      <c r="E40" t="s">
        <v>27</v>
      </c>
      <c r="F40" t="s">
        <v>28</v>
      </c>
      <c r="G40" s="3">
        <v>77386</v>
      </c>
      <c r="H40">
        <v>21</v>
      </c>
      <c r="I40" s="1">
        <v>44930</v>
      </c>
      <c r="J40" t="s">
        <v>31</v>
      </c>
      <c r="K40" t="s">
        <v>16</v>
      </c>
    </row>
    <row r="41" spans="1:11" x14ac:dyDescent="0.3">
      <c r="A41">
        <v>1040</v>
      </c>
      <c r="B41" t="s">
        <v>67</v>
      </c>
      <c r="C41" t="s">
        <v>18</v>
      </c>
      <c r="D41">
        <v>49</v>
      </c>
      <c r="E41" t="s">
        <v>19</v>
      </c>
      <c r="F41" t="s">
        <v>20</v>
      </c>
      <c r="G41" s="3">
        <v>70309</v>
      </c>
      <c r="H41">
        <v>23</v>
      </c>
      <c r="I41" s="1">
        <v>45127</v>
      </c>
      <c r="J41" t="s">
        <v>15</v>
      </c>
      <c r="K41" t="s">
        <v>16</v>
      </c>
    </row>
    <row r="42" spans="1:11" x14ac:dyDescent="0.3">
      <c r="A42">
        <v>1041</v>
      </c>
      <c r="B42" t="s">
        <v>68</v>
      </c>
      <c r="C42" t="s">
        <v>12</v>
      </c>
      <c r="D42">
        <v>24</v>
      </c>
      <c r="E42" t="s">
        <v>45</v>
      </c>
      <c r="F42" t="s">
        <v>46</v>
      </c>
      <c r="G42" s="3">
        <v>117901</v>
      </c>
      <c r="H42">
        <v>13</v>
      </c>
      <c r="I42" s="1">
        <v>43369</v>
      </c>
      <c r="J42" t="s">
        <v>15</v>
      </c>
      <c r="K42" t="s">
        <v>16</v>
      </c>
    </row>
    <row r="43" spans="1:11" x14ac:dyDescent="0.3">
      <c r="A43">
        <v>1042</v>
      </c>
      <c r="B43" t="s">
        <v>17</v>
      </c>
      <c r="C43" t="s">
        <v>12</v>
      </c>
      <c r="D43">
        <v>42</v>
      </c>
      <c r="E43" t="s">
        <v>27</v>
      </c>
      <c r="F43" t="s">
        <v>28</v>
      </c>
      <c r="G43" s="3">
        <v>111951</v>
      </c>
      <c r="H43">
        <v>27</v>
      </c>
      <c r="I43" s="1">
        <v>43809</v>
      </c>
      <c r="J43" t="s">
        <v>15</v>
      </c>
      <c r="K43" t="s">
        <v>22</v>
      </c>
    </row>
    <row r="44" spans="1:11" x14ac:dyDescent="0.3">
      <c r="A44">
        <v>1043</v>
      </c>
      <c r="B44" t="s">
        <v>49</v>
      </c>
      <c r="C44" t="s">
        <v>12</v>
      </c>
      <c r="D44">
        <v>40</v>
      </c>
      <c r="E44" t="s">
        <v>13</v>
      </c>
      <c r="F44" t="s">
        <v>14</v>
      </c>
      <c r="G44" s="3">
        <v>97667</v>
      </c>
      <c r="H44">
        <v>4</v>
      </c>
      <c r="I44" s="1">
        <v>44399</v>
      </c>
      <c r="J44" t="s">
        <v>42</v>
      </c>
      <c r="K44" t="s">
        <v>16</v>
      </c>
    </row>
    <row r="45" spans="1:11" x14ac:dyDescent="0.3">
      <c r="A45">
        <v>1044</v>
      </c>
      <c r="B45" t="s">
        <v>69</v>
      </c>
      <c r="C45" t="s">
        <v>12</v>
      </c>
      <c r="D45">
        <v>22</v>
      </c>
      <c r="E45" t="s">
        <v>19</v>
      </c>
      <c r="F45" t="s">
        <v>20</v>
      </c>
      <c r="G45" s="3">
        <v>64829</v>
      </c>
      <c r="H45">
        <v>9</v>
      </c>
      <c r="I45" s="1">
        <v>44403</v>
      </c>
      <c r="J45" t="s">
        <v>15</v>
      </c>
      <c r="K45" t="s">
        <v>22</v>
      </c>
    </row>
    <row r="46" spans="1:11" x14ac:dyDescent="0.3">
      <c r="A46">
        <v>1045</v>
      </c>
      <c r="B46" t="s">
        <v>70</v>
      </c>
      <c r="C46" t="s">
        <v>18</v>
      </c>
      <c r="D46">
        <v>54</v>
      </c>
      <c r="E46" t="s">
        <v>45</v>
      </c>
      <c r="F46" t="s">
        <v>46</v>
      </c>
      <c r="G46" s="3">
        <v>87021</v>
      </c>
      <c r="H46">
        <v>25</v>
      </c>
      <c r="I46" s="1">
        <v>44138</v>
      </c>
      <c r="J46" t="s">
        <v>31</v>
      </c>
      <c r="K46" t="s">
        <v>22</v>
      </c>
    </row>
    <row r="47" spans="1:11" x14ac:dyDescent="0.3">
      <c r="A47">
        <v>1046</v>
      </c>
      <c r="B47" t="s">
        <v>71</v>
      </c>
      <c r="C47" t="s">
        <v>18</v>
      </c>
      <c r="D47">
        <v>34</v>
      </c>
      <c r="E47" t="s">
        <v>51</v>
      </c>
      <c r="F47" t="s">
        <v>52</v>
      </c>
      <c r="G47" s="3">
        <v>44313</v>
      </c>
      <c r="H47">
        <v>0</v>
      </c>
      <c r="I47" s="1">
        <v>43206</v>
      </c>
      <c r="J47" t="s">
        <v>15</v>
      </c>
      <c r="K47" t="s">
        <v>16</v>
      </c>
    </row>
    <row r="48" spans="1:11" x14ac:dyDescent="0.3">
      <c r="A48">
        <v>1047</v>
      </c>
      <c r="B48" t="s">
        <v>61</v>
      </c>
      <c r="C48" t="s">
        <v>18</v>
      </c>
      <c r="D48">
        <v>46</v>
      </c>
      <c r="E48" t="s">
        <v>45</v>
      </c>
      <c r="F48" t="s">
        <v>46</v>
      </c>
      <c r="G48" s="3">
        <v>89799</v>
      </c>
      <c r="H48">
        <v>12</v>
      </c>
      <c r="I48" s="1">
        <v>44276</v>
      </c>
      <c r="J48" t="s">
        <v>21</v>
      </c>
      <c r="K48" t="s">
        <v>16</v>
      </c>
    </row>
    <row r="49" spans="1:11" x14ac:dyDescent="0.3">
      <c r="A49">
        <v>1048</v>
      </c>
      <c r="B49" t="s">
        <v>72</v>
      </c>
      <c r="C49" t="s">
        <v>18</v>
      </c>
      <c r="D49">
        <v>55</v>
      </c>
      <c r="E49" t="s">
        <v>51</v>
      </c>
      <c r="F49" t="s">
        <v>52</v>
      </c>
      <c r="G49" s="3">
        <v>85889</v>
      </c>
      <c r="H49">
        <v>1</v>
      </c>
      <c r="I49" s="1">
        <v>44242</v>
      </c>
      <c r="J49" t="s">
        <v>26</v>
      </c>
      <c r="K49" t="s">
        <v>22</v>
      </c>
    </row>
    <row r="50" spans="1:11" x14ac:dyDescent="0.3">
      <c r="A50">
        <v>1049</v>
      </c>
      <c r="B50" t="s">
        <v>43</v>
      </c>
      <c r="C50" t="s">
        <v>12</v>
      </c>
      <c r="D50">
        <v>50</v>
      </c>
      <c r="E50" t="s">
        <v>13</v>
      </c>
      <c r="F50" t="s">
        <v>14</v>
      </c>
      <c r="G50" s="3">
        <v>105301</v>
      </c>
      <c r="H50">
        <v>26</v>
      </c>
      <c r="I50" s="1">
        <v>45550</v>
      </c>
      <c r="J50" t="s">
        <v>26</v>
      </c>
      <c r="K50" t="s">
        <v>22</v>
      </c>
    </row>
    <row r="51" spans="1:11" x14ac:dyDescent="0.3">
      <c r="A51">
        <v>1050</v>
      </c>
      <c r="B51" t="s">
        <v>73</v>
      </c>
      <c r="C51" t="s">
        <v>12</v>
      </c>
      <c r="D51">
        <v>55</v>
      </c>
      <c r="E51" t="s">
        <v>45</v>
      </c>
      <c r="F51" t="s">
        <v>46</v>
      </c>
      <c r="G51" s="3">
        <v>88517</v>
      </c>
      <c r="H51">
        <v>20</v>
      </c>
      <c r="I51" s="1">
        <v>44331</v>
      </c>
      <c r="J51" t="s">
        <v>37</v>
      </c>
      <c r="K51" t="s">
        <v>22</v>
      </c>
    </row>
    <row r="52" spans="1:11" x14ac:dyDescent="0.3">
      <c r="A52">
        <v>1051</v>
      </c>
      <c r="B52" t="s">
        <v>74</v>
      </c>
      <c r="C52" t="s">
        <v>12</v>
      </c>
      <c r="D52">
        <v>27</v>
      </c>
      <c r="E52" t="s">
        <v>24</v>
      </c>
      <c r="F52" t="s">
        <v>25</v>
      </c>
      <c r="G52" s="3">
        <v>43136</v>
      </c>
      <c r="H52">
        <v>4</v>
      </c>
      <c r="I52" s="1">
        <v>44400</v>
      </c>
      <c r="J52" t="s">
        <v>26</v>
      </c>
      <c r="K52" t="s">
        <v>16</v>
      </c>
    </row>
    <row r="53" spans="1:11" x14ac:dyDescent="0.3">
      <c r="A53">
        <v>1052</v>
      </c>
      <c r="B53" t="s">
        <v>53</v>
      </c>
      <c r="C53" t="s">
        <v>12</v>
      </c>
      <c r="D53">
        <v>51</v>
      </c>
      <c r="E53" t="s">
        <v>51</v>
      </c>
      <c r="F53" t="s">
        <v>52</v>
      </c>
      <c r="G53" s="3">
        <v>79496</v>
      </c>
      <c r="H53">
        <v>1</v>
      </c>
      <c r="I53" s="1">
        <v>44390</v>
      </c>
      <c r="J53" t="s">
        <v>29</v>
      </c>
      <c r="K53" t="s">
        <v>16</v>
      </c>
    </row>
    <row r="54" spans="1:11" x14ac:dyDescent="0.3">
      <c r="A54">
        <v>1053</v>
      </c>
      <c r="B54" t="s">
        <v>75</v>
      </c>
      <c r="C54" t="s">
        <v>18</v>
      </c>
      <c r="D54">
        <v>44</v>
      </c>
      <c r="E54" t="s">
        <v>19</v>
      </c>
      <c r="F54" t="s">
        <v>20</v>
      </c>
      <c r="G54" s="3">
        <v>64139</v>
      </c>
      <c r="H54">
        <v>24</v>
      </c>
      <c r="I54" s="1">
        <v>45491</v>
      </c>
      <c r="J54" t="s">
        <v>21</v>
      </c>
      <c r="K54" t="s">
        <v>16</v>
      </c>
    </row>
    <row r="55" spans="1:11" x14ac:dyDescent="0.3">
      <c r="A55">
        <v>1054</v>
      </c>
      <c r="B55" t="s">
        <v>71</v>
      </c>
      <c r="C55" t="s">
        <v>12</v>
      </c>
      <c r="D55">
        <v>53</v>
      </c>
      <c r="E55" t="s">
        <v>45</v>
      </c>
      <c r="F55" t="s">
        <v>46</v>
      </c>
      <c r="G55" s="3">
        <v>28804</v>
      </c>
      <c r="H55">
        <v>12</v>
      </c>
      <c r="I55" s="1">
        <v>45252</v>
      </c>
      <c r="J55" t="s">
        <v>29</v>
      </c>
      <c r="K55" t="s">
        <v>22</v>
      </c>
    </row>
    <row r="56" spans="1:11" x14ac:dyDescent="0.3">
      <c r="A56">
        <v>1055</v>
      </c>
      <c r="B56" t="s">
        <v>38</v>
      </c>
      <c r="C56" t="s">
        <v>18</v>
      </c>
      <c r="D56">
        <v>23</v>
      </c>
      <c r="E56" t="s">
        <v>13</v>
      </c>
      <c r="F56" t="s">
        <v>14</v>
      </c>
      <c r="G56" s="3">
        <v>76645</v>
      </c>
      <c r="H56">
        <v>18</v>
      </c>
      <c r="I56" s="1">
        <v>43152</v>
      </c>
      <c r="J56" t="s">
        <v>42</v>
      </c>
      <c r="K56" t="s">
        <v>16</v>
      </c>
    </row>
    <row r="57" spans="1:11" x14ac:dyDescent="0.3">
      <c r="A57">
        <v>1056</v>
      </c>
      <c r="B57" t="s">
        <v>76</v>
      </c>
      <c r="C57" t="s">
        <v>12</v>
      </c>
      <c r="D57">
        <v>46</v>
      </c>
      <c r="E57" t="s">
        <v>45</v>
      </c>
      <c r="F57" t="s">
        <v>46</v>
      </c>
      <c r="G57" s="3">
        <v>67906</v>
      </c>
      <c r="H57">
        <v>6</v>
      </c>
      <c r="I57" s="1">
        <v>45819</v>
      </c>
      <c r="J57" t="s">
        <v>29</v>
      </c>
      <c r="K57" t="s">
        <v>22</v>
      </c>
    </row>
    <row r="58" spans="1:11" x14ac:dyDescent="0.3">
      <c r="A58">
        <v>1057</v>
      </c>
      <c r="B58" t="s">
        <v>49</v>
      </c>
      <c r="C58" t="s">
        <v>18</v>
      </c>
      <c r="D58">
        <v>52</v>
      </c>
      <c r="E58" t="s">
        <v>27</v>
      </c>
      <c r="F58" t="s">
        <v>28</v>
      </c>
      <c r="G58" s="3">
        <v>27540</v>
      </c>
      <c r="H58">
        <v>23</v>
      </c>
      <c r="I58" s="1">
        <v>43259</v>
      </c>
      <c r="J58" t="s">
        <v>21</v>
      </c>
      <c r="K58" t="s">
        <v>16</v>
      </c>
    </row>
    <row r="59" spans="1:11" x14ac:dyDescent="0.3">
      <c r="A59">
        <v>1058</v>
      </c>
      <c r="B59" t="s">
        <v>77</v>
      </c>
      <c r="C59" t="s">
        <v>18</v>
      </c>
      <c r="D59">
        <v>34</v>
      </c>
      <c r="E59" t="s">
        <v>13</v>
      </c>
      <c r="F59" t="s">
        <v>14</v>
      </c>
      <c r="G59" s="3">
        <v>27671</v>
      </c>
      <c r="H59">
        <v>19</v>
      </c>
      <c r="I59" s="1">
        <v>43926</v>
      </c>
      <c r="J59" t="s">
        <v>42</v>
      </c>
      <c r="K59" t="s">
        <v>16</v>
      </c>
    </row>
    <row r="60" spans="1:11" x14ac:dyDescent="0.3">
      <c r="A60">
        <v>1059</v>
      </c>
      <c r="B60" t="s">
        <v>65</v>
      </c>
      <c r="C60" t="s">
        <v>12</v>
      </c>
      <c r="D60">
        <v>45</v>
      </c>
      <c r="E60" t="s">
        <v>19</v>
      </c>
      <c r="F60" t="s">
        <v>20</v>
      </c>
      <c r="G60" s="3">
        <v>46992</v>
      </c>
      <c r="H60">
        <v>19</v>
      </c>
      <c r="I60" s="1">
        <v>43534</v>
      </c>
      <c r="J60" t="s">
        <v>37</v>
      </c>
      <c r="K60" t="s">
        <v>16</v>
      </c>
    </row>
    <row r="61" spans="1:11" x14ac:dyDescent="0.3">
      <c r="A61">
        <v>1060</v>
      </c>
      <c r="B61" t="s">
        <v>36</v>
      </c>
      <c r="C61" t="s">
        <v>12</v>
      </c>
      <c r="D61">
        <v>34</v>
      </c>
      <c r="E61" t="s">
        <v>27</v>
      </c>
      <c r="F61" t="s">
        <v>28</v>
      </c>
      <c r="G61" s="3">
        <v>34961</v>
      </c>
      <c r="H61">
        <v>18</v>
      </c>
      <c r="I61" s="1">
        <v>44250</v>
      </c>
      <c r="J61" t="s">
        <v>29</v>
      </c>
      <c r="K61" t="s">
        <v>22</v>
      </c>
    </row>
    <row r="62" spans="1:11" x14ac:dyDescent="0.3">
      <c r="A62">
        <v>1061</v>
      </c>
      <c r="B62" t="s">
        <v>55</v>
      </c>
      <c r="C62" t="s">
        <v>18</v>
      </c>
      <c r="D62">
        <v>44</v>
      </c>
      <c r="E62" t="s">
        <v>13</v>
      </c>
      <c r="F62" t="s">
        <v>14</v>
      </c>
      <c r="G62" s="3">
        <v>94827</v>
      </c>
      <c r="H62">
        <v>13</v>
      </c>
      <c r="I62" s="1">
        <v>44974</v>
      </c>
      <c r="J62" t="s">
        <v>21</v>
      </c>
      <c r="K62" t="s">
        <v>22</v>
      </c>
    </row>
    <row r="63" spans="1:11" x14ac:dyDescent="0.3">
      <c r="A63">
        <v>1062</v>
      </c>
      <c r="B63" t="s">
        <v>53</v>
      </c>
      <c r="C63" t="s">
        <v>18</v>
      </c>
      <c r="D63">
        <v>49</v>
      </c>
      <c r="E63" t="s">
        <v>51</v>
      </c>
      <c r="F63" t="s">
        <v>52</v>
      </c>
      <c r="G63" s="3">
        <v>72472</v>
      </c>
      <c r="H63">
        <v>20</v>
      </c>
      <c r="I63" s="1">
        <v>45996</v>
      </c>
      <c r="J63" t="s">
        <v>42</v>
      </c>
      <c r="K63" t="s">
        <v>16</v>
      </c>
    </row>
    <row r="64" spans="1:11" x14ac:dyDescent="0.3">
      <c r="A64">
        <v>1063</v>
      </c>
      <c r="B64" t="s">
        <v>78</v>
      </c>
      <c r="C64" t="s">
        <v>12</v>
      </c>
      <c r="D64">
        <v>51</v>
      </c>
      <c r="E64" t="s">
        <v>13</v>
      </c>
      <c r="F64" t="s">
        <v>14</v>
      </c>
      <c r="G64" s="3">
        <v>82091</v>
      </c>
      <c r="H64">
        <v>26</v>
      </c>
      <c r="I64" s="1">
        <v>44740</v>
      </c>
      <c r="J64" t="s">
        <v>26</v>
      </c>
      <c r="K64" t="s">
        <v>16</v>
      </c>
    </row>
    <row r="65" spans="1:11" x14ac:dyDescent="0.3">
      <c r="A65">
        <v>1064</v>
      </c>
      <c r="B65" t="s">
        <v>79</v>
      </c>
      <c r="C65" t="s">
        <v>12</v>
      </c>
      <c r="D65">
        <v>46</v>
      </c>
      <c r="E65" t="s">
        <v>27</v>
      </c>
      <c r="F65" t="s">
        <v>28</v>
      </c>
      <c r="G65" s="3">
        <v>69092</v>
      </c>
      <c r="H65">
        <v>0</v>
      </c>
      <c r="I65" s="1">
        <v>45814</v>
      </c>
      <c r="J65" t="s">
        <v>42</v>
      </c>
      <c r="K65" t="s">
        <v>16</v>
      </c>
    </row>
    <row r="66" spans="1:11" x14ac:dyDescent="0.3">
      <c r="A66">
        <v>1065</v>
      </c>
      <c r="B66" t="s">
        <v>74</v>
      </c>
      <c r="C66" t="s">
        <v>12</v>
      </c>
      <c r="D66">
        <v>39</v>
      </c>
      <c r="E66" t="s">
        <v>27</v>
      </c>
      <c r="F66" t="s">
        <v>28</v>
      </c>
      <c r="G66" s="3">
        <v>97848</v>
      </c>
      <c r="H66">
        <v>0</v>
      </c>
      <c r="I66" s="1">
        <v>44235</v>
      </c>
      <c r="J66" t="s">
        <v>21</v>
      </c>
      <c r="K66" t="s">
        <v>22</v>
      </c>
    </row>
    <row r="67" spans="1:11" x14ac:dyDescent="0.3">
      <c r="A67">
        <v>1066</v>
      </c>
      <c r="B67" t="s">
        <v>62</v>
      </c>
      <c r="C67" t="s">
        <v>12</v>
      </c>
      <c r="D67">
        <v>53</v>
      </c>
      <c r="E67" t="s">
        <v>45</v>
      </c>
      <c r="F67" t="s">
        <v>46</v>
      </c>
      <c r="G67" s="3">
        <v>83743</v>
      </c>
      <c r="H67">
        <v>25</v>
      </c>
      <c r="I67" s="1">
        <v>43141</v>
      </c>
      <c r="J67" t="s">
        <v>26</v>
      </c>
      <c r="K67" t="s">
        <v>22</v>
      </c>
    </row>
    <row r="68" spans="1:11" x14ac:dyDescent="0.3">
      <c r="A68">
        <v>1067</v>
      </c>
      <c r="B68" t="s">
        <v>71</v>
      </c>
      <c r="C68" t="s">
        <v>12</v>
      </c>
      <c r="D68">
        <v>52</v>
      </c>
      <c r="E68" t="s">
        <v>13</v>
      </c>
      <c r="F68" t="s">
        <v>14</v>
      </c>
      <c r="G68" s="3">
        <v>97544</v>
      </c>
      <c r="H68">
        <v>16</v>
      </c>
      <c r="I68" s="1">
        <v>45131</v>
      </c>
      <c r="J68" t="s">
        <v>15</v>
      </c>
      <c r="K68" t="s">
        <v>22</v>
      </c>
    </row>
    <row r="69" spans="1:11" x14ac:dyDescent="0.3">
      <c r="A69">
        <v>1068</v>
      </c>
      <c r="B69" t="s">
        <v>54</v>
      </c>
      <c r="C69" t="s">
        <v>12</v>
      </c>
      <c r="D69">
        <v>38</v>
      </c>
      <c r="E69" t="s">
        <v>27</v>
      </c>
      <c r="F69" t="s">
        <v>28</v>
      </c>
      <c r="G69" s="3">
        <v>55217</v>
      </c>
      <c r="H69">
        <v>3</v>
      </c>
      <c r="I69" s="1">
        <v>44351</v>
      </c>
      <c r="J69" t="s">
        <v>21</v>
      </c>
      <c r="K69" t="s">
        <v>16</v>
      </c>
    </row>
    <row r="70" spans="1:11" x14ac:dyDescent="0.3">
      <c r="A70">
        <v>1069</v>
      </c>
      <c r="B70" t="s">
        <v>65</v>
      </c>
      <c r="C70" t="s">
        <v>12</v>
      </c>
      <c r="D70">
        <v>55</v>
      </c>
      <c r="E70" t="s">
        <v>24</v>
      </c>
      <c r="F70" t="s">
        <v>25</v>
      </c>
      <c r="G70" s="3">
        <v>103222</v>
      </c>
      <c r="H70">
        <v>9</v>
      </c>
      <c r="I70" s="1">
        <v>43565</v>
      </c>
      <c r="J70" t="s">
        <v>26</v>
      </c>
      <c r="K70" t="s">
        <v>22</v>
      </c>
    </row>
    <row r="71" spans="1:11" x14ac:dyDescent="0.3">
      <c r="A71">
        <v>1070</v>
      </c>
      <c r="B71" t="s">
        <v>80</v>
      </c>
      <c r="C71" t="s">
        <v>18</v>
      </c>
      <c r="D71">
        <v>39</v>
      </c>
      <c r="E71" t="s">
        <v>24</v>
      </c>
      <c r="F71" t="s">
        <v>25</v>
      </c>
      <c r="G71" s="3">
        <v>30965</v>
      </c>
      <c r="H71">
        <v>1</v>
      </c>
      <c r="I71" s="1">
        <v>44900</v>
      </c>
      <c r="J71" t="s">
        <v>21</v>
      </c>
      <c r="K71" t="s">
        <v>22</v>
      </c>
    </row>
    <row r="72" spans="1:11" x14ac:dyDescent="0.3">
      <c r="A72">
        <v>1071</v>
      </c>
      <c r="B72" t="s">
        <v>81</v>
      </c>
      <c r="C72" t="s">
        <v>12</v>
      </c>
      <c r="D72">
        <v>52</v>
      </c>
      <c r="E72" t="s">
        <v>51</v>
      </c>
      <c r="F72" t="s">
        <v>52</v>
      </c>
      <c r="G72" s="3">
        <v>87746</v>
      </c>
      <c r="H72">
        <v>14</v>
      </c>
      <c r="I72" s="1">
        <v>44987</v>
      </c>
      <c r="J72" t="s">
        <v>31</v>
      </c>
      <c r="K72" t="s">
        <v>22</v>
      </c>
    </row>
    <row r="73" spans="1:11" x14ac:dyDescent="0.3">
      <c r="A73">
        <v>1072</v>
      </c>
      <c r="B73" t="s">
        <v>82</v>
      </c>
      <c r="C73" t="s">
        <v>12</v>
      </c>
      <c r="D73">
        <v>26</v>
      </c>
      <c r="E73" t="s">
        <v>51</v>
      </c>
      <c r="F73" t="s">
        <v>52</v>
      </c>
      <c r="G73" s="3">
        <v>100631</v>
      </c>
      <c r="H73">
        <v>20</v>
      </c>
      <c r="I73" s="1">
        <v>43164</v>
      </c>
      <c r="J73" t="s">
        <v>29</v>
      </c>
      <c r="K73" t="s">
        <v>22</v>
      </c>
    </row>
    <row r="74" spans="1:11" x14ac:dyDescent="0.3">
      <c r="A74">
        <v>1073</v>
      </c>
      <c r="B74" t="s">
        <v>47</v>
      </c>
      <c r="C74" t="s">
        <v>12</v>
      </c>
      <c r="D74">
        <v>36</v>
      </c>
      <c r="E74" t="s">
        <v>51</v>
      </c>
      <c r="F74" t="s">
        <v>52</v>
      </c>
      <c r="G74" s="3">
        <v>93494</v>
      </c>
      <c r="H74">
        <v>12</v>
      </c>
      <c r="I74" s="1">
        <v>45879</v>
      </c>
      <c r="J74" t="s">
        <v>29</v>
      </c>
      <c r="K74" t="s">
        <v>22</v>
      </c>
    </row>
    <row r="75" spans="1:11" x14ac:dyDescent="0.3">
      <c r="A75">
        <v>1074</v>
      </c>
      <c r="B75" t="s">
        <v>56</v>
      </c>
      <c r="C75" t="s">
        <v>18</v>
      </c>
      <c r="D75">
        <v>28</v>
      </c>
      <c r="E75" t="s">
        <v>27</v>
      </c>
      <c r="F75" t="s">
        <v>28</v>
      </c>
      <c r="G75" s="3">
        <v>52235</v>
      </c>
      <c r="H75">
        <v>20</v>
      </c>
      <c r="I75" s="1">
        <v>44338</v>
      </c>
      <c r="J75" t="s">
        <v>37</v>
      </c>
      <c r="K75" t="s">
        <v>16</v>
      </c>
    </row>
    <row r="76" spans="1:11" x14ac:dyDescent="0.3">
      <c r="A76">
        <v>1075</v>
      </c>
      <c r="B76" t="s">
        <v>33</v>
      </c>
      <c r="C76" t="s">
        <v>18</v>
      </c>
      <c r="D76">
        <v>32</v>
      </c>
      <c r="E76" t="s">
        <v>24</v>
      </c>
      <c r="F76" t="s">
        <v>25</v>
      </c>
      <c r="G76" s="3">
        <v>25350</v>
      </c>
      <c r="H76">
        <v>13</v>
      </c>
      <c r="I76" s="1">
        <v>46011</v>
      </c>
      <c r="J76" t="s">
        <v>42</v>
      </c>
      <c r="K76" t="s">
        <v>22</v>
      </c>
    </row>
    <row r="77" spans="1:11" x14ac:dyDescent="0.3">
      <c r="A77">
        <v>1076</v>
      </c>
      <c r="B77" t="s">
        <v>71</v>
      </c>
      <c r="C77" t="s">
        <v>12</v>
      </c>
      <c r="D77">
        <v>51</v>
      </c>
      <c r="E77" t="s">
        <v>51</v>
      </c>
      <c r="F77" t="s">
        <v>52</v>
      </c>
      <c r="G77" s="3">
        <v>34329</v>
      </c>
      <c r="H77">
        <v>21</v>
      </c>
      <c r="I77" s="1">
        <v>44342</v>
      </c>
      <c r="J77" t="s">
        <v>29</v>
      </c>
      <c r="K77" t="s">
        <v>16</v>
      </c>
    </row>
    <row r="78" spans="1:11" x14ac:dyDescent="0.3">
      <c r="A78">
        <v>1077</v>
      </c>
      <c r="B78" t="s">
        <v>39</v>
      </c>
      <c r="C78" t="s">
        <v>18</v>
      </c>
      <c r="D78">
        <v>31</v>
      </c>
      <c r="E78" t="s">
        <v>45</v>
      </c>
      <c r="F78" t="s">
        <v>46</v>
      </c>
      <c r="G78" s="3">
        <v>59816</v>
      </c>
      <c r="H78">
        <v>26</v>
      </c>
      <c r="I78" s="1">
        <v>43863</v>
      </c>
      <c r="J78" t="s">
        <v>26</v>
      </c>
      <c r="K78" t="s">
        <v>22</v>
      </c>
    </row>
    <row r="79" spans="1:11" x14ac:dyDescent="0.3">
      <c r="A79">
        <v>1078</v>
      </c>
      <c r="B79" t="s">
        <v>69</v>
      </c>
      <c r="C79" t="s">
        <v>12</v>
      </c>
      <c r="D79">
        <v>29</v>
      </c>
      <c r="E79" t="s">
        <v>19</v>
      </c>
      <c r="F79" t="s">
        <v>20</v>
      </c>
      <c r="G79" s="3">
        <v>86433</v>
      </c>
      <c r="H79">
        <v>22</v>
      </c>
      <c r="I79" s="1">
        <v>44908</v>
      </c>
      <c r="J79" t="s">
        <v>31</v>
      </c>
      <c r="K79" t="s">
        <v>22</v>
      </c>
    </row>
    <row r="80" spans="1:11" x14ac:dyDescent="0.3">
      <c r="A80">
        <v>1079</v>
      </c>
      <c r="B80" t="s">
        <v>83</v>
      </c>
      <c r="C80" t="s">
        <v>18</v>
      </c>
      <c r="D80">
        <v>49</v>
      </c>
      <c r="E80" t="s">
        <v>45</v>
      </c>
      <c r="F80" t="s">
        <v>46</v>
      </c>
      <c r="G80" s="3">
        <v>67247</v>
      </c>
      <c r="H80">
        <v>19</v>
      </c>
      <c r="I80" s="1">
        <v>44564</v>
      </c>
      <c r="J80" t="s">
        <v>26</v>
      </c>
      <c r="K80" t="s">
        <v>16</v>
      </c>
    </row>
    <row r="81" spans="1:11" x14ac:dyDescent="0.3">
      <c r="A81">
        <v>1080</v>
      </c>
      <c r="B81" t="s">
        <v>84</v>
      </c>
      <c r="C81" t="s">
        <v>18</v>
      </c>
      <c r="D81">
        <v>33</v>
      </c>
      <c r="E81" t="s">
        <v>13</v>
      </c>
      <c r="F81" t="s">
        <v>14</v>
      </c>
      <c r="G81" s="3">
        <v>86669</v>
      </c>
      <c r="H81">
        <v>16</v>
      </c>
      <c r="I81" s="1">
        <v>45783</v>
      </c>
      <c r="J81" t="s">
        <v>15</v>
      </c>
      <c r="K81" t="s">
        <v>22</v>
      </c>
    </row>
    <row r="82" spans="1:11" x14ac:dyDescent="0.3">
      <c r="A82">
        <v>1081</v>
      </c>
      <c r="B82" t="s">
        <v>85</v>
      </c>
      <c r="C82" t="s">
        <v>12</v>
      </c>
      <c r="D82">
        <v>44</v>
      </c>
      <c r="E82" t="s">
        <v>13</v>
      </c>
      <c r="F82" t="s">
        <v>14</v>
      </c>
      <c r="G82" s="3">
        <v>78523</v>
      </c>
      <c r="H82">
        <v>10</v>
      </c>
      <c r="I82" s="1">
        <v>45234</v>
      </c>
      <c r="J82" t="s">
        <v>29</v>
      </c>
      <c r="K82" t="s">
        <v>16</v>
      </c>
    </row>
    <row r="83" spans="1:11" x14ac:dyDescent="0.3">
      <c r="A83">
        <v>1082</v>
      </c>
      <c r="B83" t="s">
        <v>53</v>
      </c>
      <c r="C83" t="s">
        <v>12</v>
      </c>
      <c r="D83">
        <v>47</v>
      </c>
      <c r="E83" t="s">
        <v>27</v>
      </c>
      <c r="F83" t="s">
        <v>28</v>
      </c>
      <c r="G83" s="3">
        <v>97102</v>
      </c>
      <c r="H83">
        <v>1</v>
      </c>
      <c r="I83" s="1">
        <v>45699</v>
      </c>
      <c r="J83" t="s">
        <v>31</v>
      </c>
      <c r="K83" t="s">
        <v>22</v>
      </c>
    </row>
    <row r="84" spans="1:11" x14ac:dyDescent="0.3">
      <c r="A84">
        <v>1083</v>
      </c>
      <c r="B84" t="s">
        <v>86</v>
      </c>
      <c r="C84" t="s">
        <v>18</v>
      </c>
      <c r="D84">
        <v>51</v>
      </c>
      <c r="E84" t="s">
        <v>51</v>
      </c>
      <c r="F84" t="s">
        <v>52</v>
      </c>
      <c r="G84" s="3">
        <v>79165</v>
      </c>
      <c r="H84">
        <v>1</v>
      </c>
      <c r="I84" s="1">
        <v>44451</v>
      </c>
      <c r="J84" t="s">
        <v>15</v>
      </c>
      <c r="K84" t="s">
        <v>22</v>
      </c>
    </row>
    <row r="85" spans="1:11" x14ac:dyDescent="0.3">
      <c r="A85">
        <v>1084</v>
      </c>
      <c r="B85" t="s">
        <v>87</v>
      </c>
      <c r="C85" t="s">
        <v>18</v>
      </c>
      <c r="D85">
        <v>39</v>
      </c>
      <c r="E85" t="s">
        <v>13</v>
      </c>
      <c r="F85" t="s">
        <v>14</v>
      </c>
      <c r="G85" s="3">
        <v>96987</v>
      </c>
      <c r="H85">
        <v>4</v>
      </c>
      <c r="I85" s="1">
        <v>44796</v>
      </c>
      <c r="J85" t="s">
        <v>42</v>
      </c>
      <c r="K85" t="s">
        <v>16</v>
      </c>
    </row>
    <row r="86" spans="1:11" x14ac:dyDescent="0.3">
      <c r="A86">
        <v>1085</v>
      </c>
      <c r="B86" t="s">
        <v>60</v>
      </c>
      <c r="C86" t="s">
        <v>18</v>
      </c>
      <c r="D86">
        <v>41</v>
      </c>
      <c r="E86" t="s">
        <v>51</v>
      </c>
      <c r="F86" t="s">
        <v>52</v>
      </c>
      <c r="G86" s="3">
        <v>97199</v>
      </c>
      <c r="H86">
        <v>0</v>
      </c>
      <c r="I86" s="1">
        <v>45330</v>
      </c>
      <c r="J86" t="s">
        <v>29</v>
      </c>
      <c r="K86" t="s">
        <v>16</v>
      </c>
    </row>
    <row r="87" spans="1:11" x14ac:dyDescent="0.3">
      <c r="A87">
        <v>1086</v>
      </c>
      <c r="B87" t="s">
        <v>88</v>
      </c>
      <c r="C87" t="s">
        <v>12</v>
      </c>
      <c r="D87">
        <v>40</v>
      </c>
      <c r="E87" t="s">
        <v>45</v>
      </c>
      <c r="F87" t="s">
        <v>46</v>
      </c>
      <c r="G87" s="3">
        <v>91698</v>
      </c>
      <c r="H87">
        <v>22</v>
      </c>
      <c r="I87" s="1">
        <v>44769</v>
      </c>
      <c r="J87" t="s">
        <v>42</v>
      </c>
      <c r="K87" t="s">
        <v>22</v>
      </c>
    </row>
    <row r="88" spans="1:11" x14ac:dyDescent="0.3">
      <c r="A88">
        <v>1087</v>
      </c>
      <c r="B88" t="s">
        <v>23</v>
      </c>
      <c r="C88" t="s">
        <v>18</v>
      </c>
      <c r="D88">
        <v>46</v>
      </c>
      <c r="E88" t="s">
        <v>24</v>
      </c>
      <c r="F88" t="s">
        <v>25</v>
      </c>
      <c r="G88" s="3">
        <v>49983</v>
      </c>
      <c r="H88">
        <v>29</v>
      </c>
      <c r="I88" s="1">
        <v>43870</v>
      </c>
      <c r="J88" t="s">
        <v>29</v>
      </c>
      <c r="K88" t="s">
        <v>22</v>
      </c>
    </row>
    <row r="89" spans="1:11" x14ac:dyDescent="0.3">
      <c r="A89">
        <v>1088</v>
      </c>
      <c r="B89" t="s">
        <v>78</v>
      </c>
      <c r="C89" t="s">
        <v>18</v>
      </c>
      <c r="D89">
        <v>40</v>
      </c>
      <c r="E89" t="s">
        <v>27</v>
      </c>
      <c r="F89" t="s">
        <v>28</v>
      </c>
      <c r="G89" s="3">
        <v>64132</v>
      </c>
      <c r="H89">
        <v>26</v>
      </c>
      <c r="I89" s="1">
        <v>45731</v>
      </c>
      <c r="J89" t="s">
        <v>15</v>
      </c>
      <c r="K89" t="s">
        <v>22</v>
      </c>
    </row>
    <row r="90" spans="1:11" x14ac:dyDescent="0.3">
      <c r="A90">
        <v>1089</v>
      </c>
      <c r="B90" t="s">
        <v>89</v>
      </c>
      <c r="C90" t="s">
        <v>12</v>
      </c>
      <c r="D90">
        <v>51</v>
      </c>
      <c r="E90" t="s">
        <v>27</v>
      </c>
      <c r="F90" t="s">
        <v>28</v>
      </c>
      <c r="G90" s="3">
        <v>67176</v>
      </c>
      <c r="H90">
        <v>27</v>
      </c>
      <c r="I90" s="1">
        <v>44538</v>
      </c>
      <c r="J90" t="s">
        <v>15</v>
      </c>
      <c r="K90" t="s">
        <v>22</v>
      </c>
    </row>
    <row r="91" spans="1:11" x14ac:dyDescent="0.3">
      <c r="A91">
        <v>1090</v>
      </c>
      <c r="B91" t="s">
        <v>17</v>
      </c>
      <c r="C91" t="s">
        <v>12</v>
      </c>
      <c r="D91">
        <v>52</v>
      </c>
      <c r="E91" t="s">
        <v>24</v>
      </c>
      <c r="F91" t="s">
        <v>25</v>
      </c>
      <c r="G91" s="3">
        <v>117435</v>
      </c>
      <c r="H91">
        <v>29</v>
      </c>
      <c r="I91" s="1">
        <v>45495</v>
      </c>
      <c r="J91" t="s">
        <v>29</v>
      </c>
      <c r="K91" t="s">
        <v>16</v>
      </c>
    </row>
    <row r="92" spans="1:11" x14ac:dyDescent="0.3">
      <c r="A92">
        <v>1091</v>
      </c>
      <c r="B92" t="s">
        <v>90</v>
      </c>
      <c r="C92" t="s">
        <v>12</v>
      </c>
      <c r="D92">
        <v>28</v>
      </c>
      <c r="E92" t="s">
        <v>45</v>
      </c>
      <c r="F92" t="s">
        <v>46</v>
      </c>
      <c r="G92" s="3">
        <v>82711</v>
      </c>
      <c r="H92">
        <v>3</v>
      </c>
      <c r="I92" s="1">
        <v>45681</v>
      </c>
      <c r="J92" t="s">
        <v>26</v>
      </c>
      <c r="K92" t="s">
        <v>22</v>
      </c>
    </row>
    <row r="93" spans="1:11" x14ac:dyDescent="0.3">
      <c r="A93">
        <v>1092</v>
      </c>
      <c r="B93" t="s">
        <v>91</v>
      </c>
      <c r="C93" t="s">
        <v>12</v>
      </c>
      <c r="D93">
        <v>38</v>
      </c>
      <c r="E93" t="s">
        <v>13</v>
      </c>
      <c r="F93" t="s">
        <v>14</v>
      </c>
      <c r="G93" s="3">
        <v>69375</v>
      </c>
      <c r="H93">
        <v>19</v>
      </c>
      <c r="I93" s="1">
        <v>45599</v>
      </c>
      <c r="J93" t="s">
        <v>29</v>
      </c>
      <c r="K93" t="s">
        <v>22</v>
      </c>
    </row>
    <row r="94" spans="1:11" x14ac:dyDescent="0.3">
      <c r="A94">
        <v>1093</v>
      </c>
      <c r="B94" t="s">
        <v>92</v>
      </c>
      <c r="C94" t="s">
        <v>12</v>
      </c>
      <c r="D94">
        <v>53</v>
      </c>
      <c r="E94" t="s">
        <v>13</v>
      </c>
      <c r="F94" t="s">
        <v>14</v>
      </c>
      <c r="G94" s="3">
        <v>95912</v>
      </c>
      <c r="H94">
        <v>1</v>
      </c>
      <c r="I94" s="1">
        <v>43576</v>
      </c>
      <c r="J94" t="s">
        <v>21</v>
      </c>
      <c r="K94" t="s">
        <v>22</v>
      </c>
    </row>
    <row r="95" spans="1:11" x14ac:dyDescent="0.3">
      <c r="A95">
        <v>1094</v>
      </c>
      <c r="B95" t="s">
        <v>82</v>
      </c>
      <c r="C95" t="s">
        <v>18</v>
      </c>
      <c r="D95">
        <v>28</v>
      </c>
      <c r="E95" t="s">
        <v>24</v>
      </c>
      <c r="F95" t="s">
        <v>25</v>
      </c>
      <c r="G95" s="3">
        <v>83153</v>
      </c>
      <c r="H95">
        <v>5</v>
      </c>
      <c r="I95" s="1">
        <v>44563</v>
      </c>
      <c r="J95" t="s">
        <v>31</v>
      </c>
      <c r="K95" t="s">
        <v>16</v>
      </c>
    </row>
    <row r="96" spans="1:11" x14ac:dyDescent="0.3">
      <c r="A96">
        <v>1095</v>
      </c>
      <c r="B96" t="s">
        <v>93</v>
      </c>
      <c r="C96" t="s">
        <v>12</v>
      </c>
      <c r="D96">
        <v>31</v>
      </c>
      <c r="E96" t="s">
        <v>27</v>
      </c>
      <c r="F96" t="s">
        <v>28</v>
      </c>
      <c r="G96" s="3">
        <v>57007</v>
      </c>
      <c r="H96">
        <v>16</v>
      </c>
      <c r="I96" s="1">
        <v>45587</v>
      </c>
      <c r="J96" t="s">
        <v>29</v>
      </c>
      <c r="K96" t="s">
        <v>16</v>
      </c>
    </row>
    <row r="97" spans="1:11" x14ac:dyDescent="0.3">
      <c r="A97">
        <v>1096</v>
      </c>
      <c r="B97" t="s">
        <v>76</v>
      </c>
      <c r="C97" t="s">
        <v>12</v>
      </c>
      <c r="D97">
        <v>37</v>
      </c>
      <c r="E97" t="s">
        <v>24</v>
      </c>
      <c r="F97" t="s">
        <v>25</v>
      </c>
      <c r="G97" s="3">
        <v>90230</v>
      </c>
      <c r="H97">
        <v>29</v>
      </c>
      <c r="I97" s="1">
        <v>43936</v>
      </c>
      <c r="J97" t="s">
        <v>21</v>
      </c>
      <c r="K97" t="s">
        <v>22</v>
      </c>
    </row>
    <row r="98" spans="1:11" x14ac:dyDescent="0.3">
      <c r="A98">
        <v>1097</v>
      </c>
      <c r="B98" t="s">
        <v>67</v>
      </c>
      <c r="C98" t="s">
        <v>12</v>
      </c>
      <c r="D98">
        <v>40</v>
      </c>
      <c r="E98" t="s">
        <v>45</v>
      </c>
      <c r="F98" t="s">
        <v>46</v>
      </c>
      <c r="G98" s="3">
        <v>113815</v>
      </c>
      <c r="H98">
        <v>17</v>
      </c>
      <c r="I98" s="1">
        <v>43876</v>
      </c>
      <c r="J98" t="s">
        <v>31</v>
      </c>
      <c r="K98" t="s">
        <v>22</v>
      </c>
    </row>
    <row r="99" spans="1:11" x14ac:dyDescent="0.3">
      <c r="A99">
        <v>1098</v>
      </c>
      <c r="B99" t="s">
        <v>49</v>
      </c>
      <c r="C99" t="s">
        <v>12</v>
      </c>
      <c r="D99">
        <v>41</v>
      </c>
      <c r="E99" t="s">
        <v>13</v>
      </c>
      <c r="F99" t="s">
        <v>14</v>
      </c>
      <c r="G99" s="3">
        <v>51111</v>
      </c>
      <c r="H99">
        <v>12</v>
      </c>
      <c r="I99" s="1">
        <v>45696</v>
      </c>
      <c r="J99" t="s">
        <v>42</v>
      </c>
      <c r="K99" t="s">
        <v>22</v>
      </c>
    </row>
    <row r="100" spans="1:11" x14ac:dyDescent="0.3">
      <c r="A100">
        <v>1099</v>
      </c>
      <c r="B100" t="s">
        <v>94</v>
      </c>
      <c r="C100" t="s">
        <v>18</v>
      </c>
      <c r="D100">
        <v>47</v>
      </c>
      <c r="E100" t="s">
        <v>19</v>
      </c>
      <c r="F100" t="s">
        <v>20</v>
      </c>
      <c r="G100" s="3">
        <v>60976</v>
      </c>
      <c r="H100">
        <v>0</v>
      </c>
      <c r="I100" s="1">
        <v>43397</v>
      </c>
      <c r="J100" t="s">
        <v>42</v>
      </c>
      <c r="K100" t="s">
        <v>22</v>
      </c>
    </row>
    <row r="101" spans="1:11" x14ac:dyDescent="0.3">
      <c r="A101">
        <v>1100</v>
      </c>
      <c r="B101" t="s">
        <v>95</v>
      </c>
      <c r="C101" t="s">
        <v>18</v>
      </c>
      <c r="D101">
        <v>34</v>
      </c>
      <c r="E101" t="s">
        <v>24</v>
      </c>
      <c r="F101" t="s">
        <v>25</v>
      </c>
      <c r="G101" s="3">
        <v>106381</v>
      </c>
      <c r="H101">
        <v>8</v>
      </c>
      <c r="I101" s="1">
        <v>44139</v>
      </c>
      <c r="J101" t="s">
        <v>21</v>
      </c>
      <c r="K101" t="s">
        <v>16</v>
      </c>
    </row>
    <row r="102" spans="1:11" x14ac:dyDescent="0.3">
      <c r="A102">
        <v>1101</v>
      </c>
      <c r="B102" t="s">
        <v>87</v>
      </c>
      <c r="C102" t="s">
        <v>12</v>
      </c>
      <c r="D102">
        <v>30</v>
      </c>
      <c r="E102" t="s">
        <v>27</v>
      </c>
      <c r="F102" t="s">
        <v>28</v>
      </c>
      <c r="G102" s="3">
        <v>36813</v>
      </c>
      <c r="H102">
        <v>29</v>
      </c>
      <c r="I102" s="1">
        <v>44736</v>
      </c>
      <c r="J102" t="s">
        <v>42</v>
      </c>
      <c r="K102" t="s">
        <v>16</v>
      </c>
    </row>
    <row r="103" spans="1:11" x14ac:dyDescent="0.3">
      <c r="A103">
        <v>1102</v>
      </c>
      <c r="B103" t="s">
        <v>96</v>
      </c>
      <c r="C103" t="s">
        <v>12</v>
      </c>
      <c r="D103">
        <v>55</v>
      </c>
      <c r="E103" t="s">
        <v>24</v>
      </c>
      <c r="F103" t="s">
        <v>25</v>
      </c>
      <c r="G103" s="3">
        <v>90771</v>
      </c>
      <c r="H103">
        <v>29</v>
      </c>
      <c r="I103" s="1">
        <v>44629</v>
      </c>
      <c r="J103" t="s">
        <v>29</v>
      </c>
      <c r="K103" t="s">
        <v>22</v>
      </c>
    </row>
    <row r="104" spans="1:11" x14ac:dyDescent="0.3">
      <c r="A104">
        <v>1103</v>
      </c>
      <c r="B104" t="s">
        <v>34</v>
      </c>
      <c r="C104" t="s">
        <v>12</v>
      </c>
      <c r="D104">
        <v>26</v>
      </c>
      <c r="E104" t="s">
        <v>27</v>
      </c>
      <c r="F104" t="s">
        <v>28</v>
      </c>
      <c r="G104" s="3">
        <v>43449</v>
      </c>
      <c r="H104">
        <v>24</v>
      </c>
      <c r="I104" s="1">
        <v>44524</v>
      </c>
      <c r="J104" t="s">
        <v>21</v>
      </c>
      <c r="K104" t="s">
        <v>22</v>
      </c>
    </row>
    <row r="105" spans="1:11" x14ac:dyDescent="0.3">
      <c r="A105">
        <v>1104</v>
      </c>
      <c r="B105" t="s">
        <v>58</v>
      </c>
      <c r="C105" t="s">
        <v>12</v>
      </c>
      <c r="D105">
        <v>22</v>
      </c>
      <c r="E105" t="s">
        <v>19</v>
      </c>
      <c r="F105" t="s">
        <v>20</v>
      </c>
      <c r="G105" s="3">
        <v>59663</v>
      </c>
      <c r="H105">
        <v>17</v>
      </c>
      <c r="I105" s="1">
        <v>43689</v>
      </c>
      <c r="J105" t="s">
        <v>21</v>
      </c>
      <c r="K105" t="s">
        <v>22</v>
      </c>
    </row>
    <row r="106" spans="1:11" x14ac:dyDescent="0.3">
      <c r="A106">
        <v>1105</v>
      </c>
      <c r="B106" t="s">
        <v>50</v>
      </c>
      <c r="C106" t="s">
        <v>18</v>
      </c>
      <c r="D106">
        <v>36</v>
      </c>
      <c r="E106" t="s">
        <v>19</v>
      </c>
      <c r="F106" t="s">
        <v>20</v>
      </c>
      <c r="G106" s="3">
        <v>86797</v>
      </c>
      <c r="H106">
        <v>0</v>
      </c>
      <c r="I106" s="1">
        <v>45207</v>
      </c>
      <c r="J106" t="s">
        <v>21</v>
      </c>
      <c r="K106" t="s">
        <v>16</v>
      </c>
    </row>
    <row r="107" spans="1:11" x14ac:dyDescent="0.3">
      <c r="A107">
        <v>1106</v>
      </c>
      <c r="B107" t="s">
        <v>54</v>
      </c>
      <c r="C107" t="s">
        <v>12</v>
      </c>
      <c r="D107">
        <v>29</v>
      </c>
      <c r="E107" t="s">
        <v>13</v>
      </c>
      <c r="F107" t="s">
        <v>14</v>
      </c>
      <c r="G107" s="3">
        <v>43320</v>
      </c>
      <c r="H107">
        <v>1</v>
      </c>
      <c r="I107" s="1">
        <v>43236</v>
      </c>
      <c r="J107" t="s">
        <v>37</v>
      </c>
      <c r="K107" t="s">
        <v>16</v>
      </c>
    </row>
    <row r="108" spans="1:11" x14ac:dyDescent="0.3">
      <c r="A108">
        <v>1107</v>
      </c>
      <c r="B108" t="s">
        <v>62</v>
      </c>
      <c r="C108" t="s">
        <v>12</v>
      </c>
      <c r="D108">
        <v>51</v>
      </c>
      <c r="E108" t="s">
        <v>24</v>
      </c>
      <c r="F108" t="s">
        <v>25</v>
      </c>
      <c r="G108" s="3">
        <v>73629</v>
      </c>
      <c r="H108">
        <v>21</v>
      </c>
      <c r="I108" s="1">
        <v>45589</v>
      </c>
      <c r="J108" t="s">
        <v>21</v>
      </c>
      <c r="K108" t="s">
        <v>16</v>
      </c>
    </row>
    <row r="109" spans="1:11" x14ac:dyDescent="0.3">
      <c r="A109">
        <v>1108</v>
      </c>
      <c r="B109" t="s">
        <v>97</v>
      </c>
      <c r="C109" t="s">
        <v>12</v>
      </c>
      <c r="D109">
        <v>39</v>
      </c>
      <c r="E109" t="s">
        <v>45</v>
      </c>
      <c r="F109" t="s">
        <v>46</v>
      </c>
      <c r="G109" s="3">
        <v>29288</v>
      </c>
      <c r="H109">
        <v>22</v>
      </c>
      <c r="I109" s="1">
        <v>45031</v>
      </c>
      <c r="J109" t="s">
        <v>42</v>
      </c>
      <c r="K109" t="s">
        <v>16</v>
      </c>
    </row>
    <row r="110" spans="1:11" x14ac:dyDescent="0.3">
      <c r="A110">
        <v>1109</v>
      </c>
      <c r="B110" t="s">
        <v>63</v>
      </c>
      <c r="C110" t="s">
        <v>12</v>
      </c>
      <c r="D110">
        <v>25</v>
      </c>
      <c r="E110" t="s">
        <v>27</v>
      </c>
      <c r="F110" t="s">
        <v>28</v>
      </c>
      <c r="G110" s="3">
        <v>77184</v>
      </c>
      <c r="H110">
        <v>8</v>
      </c>
      <c r="I110" s="1">
        <v>44255</v>
      </c>
      <c r="J110" t="s">
        <v>29</v>
      </c>
      <c r="K110" t="s">
        <v>22</v>
      </c>
    </row>
    <row r="111" spans="1:11" x14ac:dyDescent="0.3">
      <c r="A111">
        <v>1110</v>
      </c>
      <c r="B111" t="s">
        <v>98</v>
      </c>
      <c r="C111" t="s">
        <v>18</v>
      </c>
      <c r="D111">
        <v>25</v>
      </c>
      <c r="E111" t="s">
        <v>51</v>
      </c>
      <c r="F111" t="s">
        <v>52</v>
      </c>
      <c r="G111" s="3">
        <v>68713</v>
      </c>
      <c r="H111">
        <v>7</v>
      </c>
      <c r="I111" s="1">
        <v>44111</v>
      </c>
      <c r="J111" t="s">
        <v>37</v>
      </c>
      <c r="K111" t="s">
        <v>16</v>
      </c>
    </row>
    <row r="112" spans="1:11" x14ac:dyDescent="0.3">
      <c r="A112">
        <v>1111</v>
      </c>
      <c r="B112" t="s">
        <v>99</v>
      </c>
      <c r="C112" t="s">
        <v>12</v>
      </c>
      <c r="D112">
        <v>31</v>
      </c>
      <c r="E112" t="s">
        <v>19</v>
      </c>
      <c r="F112" t="s">
        <v>20</v>
      </c>
      <c r="G112" s="3">
        <v>103116</v>
      </c>
      <c r="H112">
        <v>0</v>
      </c>
      <c r="I112" s="1">
        <v>44625</v>
      </c>
      <c r="J112" t="s">
        <v>15</v>
      </c>
      <c r="K112" t="s">
        <v>22</v>
      </c>
    </row>
    <row r="113" spans="1:11" x14ac:dyDescent="0.3">
      <c r="A113">
        <v>1112</v>
      </c>
      <c r="B113" t="s">
        <v>11</v>
      </c>
      <c r="C113" t="s">
        <v>18</v>
      </c>
      <c r="D113">
        <v>22</v>
      </c>
      <c r="E113" t="s">
        <v>24</v>
      </c>
      <c r="F113" t="s">
        <v>25</v>
      </c>
      <c r="G113" s="3">
        <v>71955</v>
      </c>
      <c r="H113">
        <v>25</v>
      </c>
      <c r="I113" s="1">
        <v>44480</v>
      </c>
      <c r="J113" t="s">
        <v>37</v>
      </c>
      <c r="K113" t="s">
        <v>16</v>
      </c>
    </row>
    <row r="114" spans="1:11" x14ac:dyDescent="0.3">
      <c r="A114">
        <v>1113</v>
      </c>
      <c r="B114" t="s">
        <v>90</v>
      </c>
      <c r="C114" t="s">
        <v>12</v>
      </c>
      <c r="D114">
        <v>55</v>
      </c>
      <c r="E114" t="s">
        <v>27</v>
      </c>
      <c r="F114" t="s">
        <v>28</v>
      </c>
      <c r="G114" s="3">
        <v>39896</v>
      </c>
      <c r="H114">
        <v>23</v>
      </c>
      <c r="I114" s="1">
        <v>43692</v>
      </c>
      <c r="J114" t="s">
        <v>29</v>
      </c>
      <c r="K114" t="s">
        <v>22</v>
      </c>
    </row>
    <row r="115" spans="1:11" x14ac:dyDescent="0.3">
      <c r="A115">
        <v>1114</v>
      </c>
      <c r="B115" t="s">
        <v>100</v>
      </c>
      <c r="C115" t="s">
        <v>12</v>
      </c>
      <c r="D115">
        <v>54</v>
      </c>
      <c r="E115" t="s">
        <v>19</v>
      </c>
      <c r="F115" t="s">
        <v>20</v>
      </c>
      <c r="G115" s="3">
        <v>54038</v>
      </c>
      <c r="H115">
        <v>30</v>
      </c>
      <c r="I115" s="1">
        <v>43460</v>
      </c>
      <c r="J115" t="s">
        <v>29</v>
      </c>
      <c r="K115" t="s">
        <v>22</v>
      </c>
    </row>
    <row r="116" spans="1:11" x14ac:dyDescent="0.3">
      <c r="A116">
        <v>1115</v>
      </c>
      <c r="B116" t="s">
        <v>101</v>
      </c>
      <c r="C116" t="s">
        <v>12</v>
      </c>
      <c r="D116">
        <v>47</v>
      </c>
      <c r="E116" t="s">
        <v>45</v>
      </c>
      <c r="F116" t="s">
        <v>46</v>
      </c>
      <c r="G116" s="3">
        <v>80872</v>
      </c>
      <c r="H116">
        <v>21</v>
      </c>
      <c r="I116" s="1">
        <v>43700</v>
      </c>
      <c r="J116" t="s">
        <v>42</v>
      </c>
      <c r="K116" t="s">
        <v>16</v>
      </c>
    </row>
    <row r="117" spans="1:11" x14ac:dyDescent="0.3">
      <c r="A117">
        <v>1116</v>
      </c>
      <c r="B117" t="s">
        <v>89</v>
      </c>
      <c r="C117" t="s">
        <v>18</v>
      </c>
      <c r="D117">
        <v>26</v>
      </c>
      <c r="E117" t="s">
        <v>51</v>
      </c>
      <c r="F117" t="s">
        <v>52</v>
      </c>
      <c r="G117" s="3">
        <v>41540</v>
      </c>
      <c r="H117">
        <v>8</v>
      </c>
      <c r="I117" s="1">
        <v>45127</v>
      </c>
      <c r="J117" t="s">
        <v>15</v>
      </c>
      <c r="K117" t="s">
        <v>22</v>
      </c>
    </row>
    <row r="118" spans="1:11" x14ac:dyDescent="0.3">
      <c r="A118">
        <v>1117</v>
      </c>
      <c r="B118" t="s">
        <v>43</v>
      </c>
      <c r="C118" t="s">
        <v>12</v>
      </c>
      <c r="D118">
        <v>28</v>
      </c>
      <c r="E118" t="s">
        <v>45</v>
      </c>
      <c r="F118" t="s">
        <v>46</v>
      </c>
      <c r="G118" s="3">
        <v>116983</v>
      </c>
      <c r="H118">
        <v>3</v>
      </c>
      <c r="I118" s="1">
        <v>44392</v>
      </c>
      <c r="J118" t="s">
        <v>26</v>
      </c>
      <c r="K118" t="s">
        <v>22</v>
      </c>
    </row>
    <row r="119" spans="1:11" x14ac:dyDescent="0.3">
      <c r="A119">
        <v>1118</v>
      </c>
      <c r="B119" t="s">
        <v>70</v>
      </c>
      <c r="C119" t="s">
        <v>12</v>
      </c>
      <c r="D119">
        <v>28</v>
      </c>
      <c r="E119" t="s">
        <v>27</v>
      </c>
      <c r="F119" t="s">
        <v>28</v>
      </c>
      <c r="G119" s="3">
        <v>65966</v>
      </c>
      <c r="H119">
        <v>13</v>
      </c>
      <c r="I119" s="1">
        <v>45239</v>
      </c>
      <c r="J119" t="s">
        <v>31</v>
      </c>
      <c r="K119" t="s">
        <v>16</v>
      </c>
    </row>
    <row r="120" spans="1:11" x14ac:dyDescent="0.3">
      <c r="A120">
        <v>1119</v>
      </c>
      <c r="B120" t="s">
        <v>85</v>
      </c>
      <c r="C120" t="s">
        <v>18</v>
      </c>
      <c r="D120">
        <v>27</v>
      </c>
      <c r="E120" t="s">
        <v>13</v>
      </c>
      <c r="F120" t="s">
        <v>14</v>
      </c>
      <c r="G120" s="3">
        <v>37219</v>
      </c>
      <c r="H120">
        <v>13</v>
      </c>
      <c r="I120" s="1">
        <v>43823</v>
      </c>
      <c r="J120" t="s">
        <v>31</v>
      </c>
      <c r="K120" t="s">
        <v>16</v>
      </c>
    </row>
    <row r="121" spans="1:11" x14ac:dyDescent="0.3">
      <c r="A121">
        <v>1120</v>
      </c>
      <c r="B121" t="s">
        <v>102</v>
      </c>
      <c r="C121" t="s">
        <v>12</v>
      </c>
      <c r="D121">
        <v>29</v>
      </c>
      <c r="E121" t="s">
        <v>19</v>
      </c>
      <c r="F121" t="s">
        <v>20</v>
      </c>
      <c r="G121" s="3">
        <v>78845</v>
      </c>
      <c r="H121">
        <v>11</v>
      </c>
      <c r="I121" s="1">
        <v>45628</v>
      </c>
      <c r="J121" t="s">
        <v>31</v>
      </c>
      <c r="K121" t="s">
        <v>22</v>
      </c>
    </row>
    <row r="122" spans="1:11" x14ac:dyDescent="0.3">
      <c r="A122">
        <v>1121</v>
      </c>
      <c r="B122" t="s">
        <v>39</v>
      </c>
      <c r="C122" t="s">
        <v>18</v>
      </c>
      <c r="D122">
        <v>31</v>
      </c>
      <c r="E122" t="s">
        <v>27</v>
      </c>
      <c r="F122" t="s">
        <v>28</v>
      </c>
      <c r="G122" s="3">
        <v>111079</v>
      </c>
      <c r="H122">
        <v>15</v>
      </c>
      <c r="I122" s="1">
        <v>44239</v>
      </c>
      <c r="J122" t="s">
        <v>29</v>
      </c>
      <c r="K122" t="s">
        <v>22</v>
      </c>
    </row>
    <row r="123" spans="1:11" x14ac:dyDescent="0.3">
      <c r="A123">
        <v>1122</v>
      </c>
      <c r="B123" t="s">
        <v>84</v>
      </c>
      <c r="C123" t="s">
        <v>18</v>
      </c>
      <c r="D123">
        <v>49</v>
      </c>
      <c r="E123" t="s">
        <v>51</v>
      </c>
      <c r="F123" t="s">
        <v>52</v>
      </c>
      <c r="G123" s="3">
        <v>98526</v>
      </c>
      <c r="H123">
        <v>24</v>
      </c>
      <c r="I123" s="1">
        <v>43395</v>
      </c>
      <c r="J123" t="s">
        <v>29</v>
      </c>
      <c r="K123" t="s">
        <v>22</v>
      </c>
    </row>
    <row r="124" spans="1:11" x14ac:dyDescent="0.3">
      <c r="A124">
        <v>1123</v>
      </c>
      <c r="B124" t="s">
        <v>103</v>
      </c>
      <c r="C124" t="s">
        <v>12</v>
      </c>
      <c r="D124">
        <v>43</v>
      </c>
      <c r="E124" t="s">
        <v>51</v>
      </c>
      <c r="F124" t="s">
        <v>52</v>
      </c>
      <c r="G124" s="3">
        <v>71009</v>
      </c>
      <c r="H124">
        <v>0</v>
      </c>
      <c r="I124" s="1">
        <v>43909</v>
      </c>
      <c r="J124" t="s">
        <v>21</v>
      </c>
      <c r="K124" t="s">
        <v>22</v>
      </c>
    </row>
    <row r="125" spans="1:11" x14ac:dyDescent="0.3">
      <c r="A125">
        <v>1124</v>
      </c>
      <c r="B125" t="s">
        <v>91</v>
      </c>
      <c r="C125" t="s">
        <v>18</v>
      </c>
      <c r="D125">
        <v>55</v>
      </c>
      <c r="E125" t="s">
        <v>51</v>
      </c>
      <c r="F125" t="s">
        <v>52</v>
      </c>
      <c r="G125" s="3">
        <v>53197</v>
      </c>
      <c r="H125">
        <v>12</v>
      </c>
      <c r="I125" s="1">
        <v>45515</v>
      </c>
      <c r="J125" t="s">
        <v>26</v>
      </c>
      <c r="K125" t="s">
        <v>22</v>
      </c>
    </row>
    <row r="126" spans="1:11" x14ac:dyDescent="0.3">
      <c r="A126">
        <v>1125</v>
      </c>
      <c r="B126" t="s">
        <v>89</v>
      </c>
      <c r="C126" t="s">
        <v>18</v>
      </c>
      <c r="D126">
        <v>25</v>
      </c>
      <c r="E126" t="s">
        <v>27</v>
      </c>
      <c r="F126" t="s">
        <v>28</v>
      </c>
      <c r="G126" s="3">
        <v>45392</v>
      </c>
      <c r="H126">
        <v>5</v>
      </c>
      <c r="I126" s="1">
        <v>43407</v>
      </c>
      <c r="J126" t="s">
        <v>31</v>
      </c>
      <c r="K126" t="s">
        <v>22</v>
      </c>
    </row>
    <row r="127" spans="1:11" x14ac:dyDescent="0.3">
      <c r="A127">
        <v>1126</v>
      </c>
      <c r="B127" t="s">
        <v>53</v>
      </c>
      <c r="C127" t="s">
        <v>12</v>
      </c>
      <c r="D127">
        <v>48</v>
      </c>
      <c r="E127" t="s">
        <v>13</v>
      </c>
      <c r="F127" t="s">
        <v>14</v>
      </c>
      <c r="G127" s="3">
        <v>60804</v>
      </c>
      <c r="H127">
        <v>6</v>
      </c>
      <c r="I127" s="1">
        <v>43630</v>
      </c>
      <c r="J127" t="s">
        <v>37</v>
      </c>
      <c r="K127" t="s">
        <v>22</v>
      </c>
    </row>
    <row r="128" spans="1:11" x14ac:dyDescent="0.3">
      <c r="A128">
        <v>1127</v>
      </c>
      <c r="B128" t="s">
        <v>36</v>
      </c>
      <c r="C128" t="s">
        <v>12</v>
      </c>
      <c r="D128">
        <v>24</v>
      </c>
      <c r="E128" t="s">
        <v>13</v>
      </c>
      <c r="F128" t="s">
        <v>14</v>
      </c>
      <c r="G128" s="3">
        <v>53903</v>
      </c>
      <c r="H128">
        <v>12</v>
      </c>
      <c r="I128" s="1">
        <v>43107</v>
      </c>
      <c r="J128" t="s">
        <v>31</v>
      </c>
      <c r="K128" t="s">
        <v>16</v>
      </c>
    </row>
    <row r="129" spans="1:11" x14ac:dyDescent="0.3">
      <c r="A129">
        <v>1128</v>
      </c>
      <c r="B129" t="s">
        <v>74</v>
      </c>
      <c r="C129" t="s">
        <v>12</v>
      </c>
      <c r="D129">
        <v>29</v>
      </c>
      <c r="E129" t="s">
        <v>24</v>
      </c>
      <c r="F129" t="s">
        <v>25</v>
      </c>
      <c r="G129" s="3">
        <v>26013</v>
      </c>
      <c r="H129">
        <v>15</v>
      </c>
      <c r="I129" s="1">
        <v>45356</v>
      </c>
      <c r="J129" t="s">
        <v>42</v>
      </c>
      <c r="K129" t="s">
        <v>16</v>
      </c>
    </row>
    <row r="130" spans="1:11" x14ac:dyDescent="0.3">
      <c r="A130">
        <v>1129</v>
      </c>
      <c r="B130" t="s">
        <v>59</v>
      </c>
      <c r="C130" t="s">
        <v>18</v>
      </c>
      <c r="D130">
        <v>47</v>
      </c>
      <c r="E130" t="s">
        <v>19</v>
      </c>
      <c r="F130" t="s">
        <v>20</v>
      </c>
      <c r="G130" s="3">
        <v>30544</v>
      </c>
      <c r="H130">
        <v>13</v>
      </c>
      <c r="I130" s="1">
        <v>43315</v>
      </c>
      <c r="J130" t="s">
        <v>29</v>
      </c>
      <c r="K130" t="s">
        <v>22</v>
      </c>
    </row>
    <row r="131" spans="1:11" x14ac:dyDescent="0.3">
      <c r="A131">
        <v>1130</v>
      </c>
      <c r="B131" t="s">
        <v>61</v>
      </c>
      <c r="C131" t="s">
        <v>12</v>
      </c>
      <c r="D131">
        <v>48</v>
      </c>
      <c r="E131" t="s">
        <v>19</v>
      </c>
      <c r="F131" t="s">
        <v>20</v>
      </c>
      <c r="G131" s="3">
        <v>62947</v>
      </c>
      <c r="H131">
        <v>3</v>
      </c>
      <c r="I131" s="1">
        <v>45302</v>
      </c>
      <c r="J131" t="s">
        <v>26</v>
      </c>
      <c r="K131" t="s">
        <v>22</v>
      </c>
    </row>
    <row r="132" spans="1:11" x14ac:dyDescent="0.3">
      <c r="A132">
        <v>1131</v>
      </c>
      <c r="B132" t="s">
        <v>58</v>
      </c>
      <c r="C132" t="s">
        <v>12</v>
      </c>
      <c r="D132">
        <v>28</v>
      </c>
      <c r="E132" t="s">
        <v>13</v>
      </c>
      <c r="F132" t="s">
        <v>14</v>
      </c>
      <c r="G132" s="3">
        <v>56891</v>
      </c>
      <c r="H132">
        <v>13</v>
      </c>
      <c r="I132" s="1">
        <v>45538</v>
      </c>
      <c r="J132" t="s">
        <v>42</v>
      </c>
      <c r="K132" t="s">
        <v>22</v>
      </c>
    </row>
    <row r="133" spans="1:11" x14ac:dyDescent="0.3">
      <c r="A133">
        <v>1132</v>
      </c>
      <c r="B133" t="s">
        <v>104</v>
      </c>
      <c r="C133" t="s">
        <v>12</v>
      </c>
      <c r="D133">
        <v>32</v>
      </c>
      <c r="E133" t="s">
        <v>13</v>
      </c>
      <c r="F133" t="s">
        <v>14</v>
      </c>
      <c r="G133" s="3">
        <v>35011</v>
      </c>
      <c r="H133">
        <v>16</v>
      </c>
      <c r="I133" s="1">
        <v>43725</v>
      </c>
      <c r="J133" t="s">
        <v>26</v>
      </c>
      <c r="K133" t="s">
        <v>22</v>
      </c>
    </row>
    <row r="134" spans="1:11" x14ac:dyDescent="0.3">
      <c r="A134">
        <v>1133</v>
      </c>
      <c r="B134" t="s">
        <v>105</v>
      </c>
      <c r="C134" t="s">
        <v>18</v>
      </c>
      <c r="D134">
        <v>31</v>
      </c>
      <c r="E134" t="s">
        <v>27</v>
      </c>
      <c r="F134" t="s">
        <v>28</v>
      </c>
      <c r="G134" s="3">
        <v>58550</v>
      </c>
      <c r="H134">
        <v>6</v>
      </c>
      <c r="I134" s="1">
        <v>44109</v>
      </c>
      <c r="J134" t="s">
        <v>29</v>
      </c>
      <c r="K134" t="s">
        <v>16</v>
      </c>
    </row>
    <row r="135" spans="1:11" x14ac:dyDescent="0.3">
      <c r="A135">
        <v>1134</v>
      </c>
      <c r="B135" t="s">
        <v>35</v>
      </c>
      <c r="C135" t="s">
        <v>12</v>
      </c>
      <c r="D135">
        <v>42</v>
      </c>
      <c r="E135" t="s">
        <v>24</v>
      </c>
      <c r="F135" t="s">
        <v>25</v>
      </c>
      <c r="G135" s="3">
        <v>107210</v>
      </c>
      <c r="H135">
        <v>10</v>
      </c>
      <c r="I135" s="1">
        <v>44046</v>
      </c>
      <c r="J135" t="s">
        <v>42</v>
      </c>
      <c r="K135" t="s">
        <v>22</v>
      </c>
    </row>
    <row r="136" spans="1:11" x14ac:dyDescent="0.3">
      <c r="A136">
        <v>1135</v>
      </c>
      <c r="B136" t="s">
        <v>94</v>
      </c>
      <c r="C136" t="s">
        <v>18</v>
      </c>
      <c r="D136">
        <v>44</v>
      </c>
      <c r="E136" t="s">
        <v>13</v>
      </c>
      <c r="F136" t="s">
        <v>14</v>
      </c>
      <c r="G136" s="3">
        <v>91497</v>
      </c>
      <c r="H136">
        <v>2</v>
      </c>
      <c r="I136" s="1">
        <v>44788</v>
      </c>
      <c r="J136" t="s">
        <v>37</v>
      </c>
      <c r="K136" t="s">
        <v>16</v>
      </c>
    </row>
    <row r="137" spans="1:11" x14ac:dyDescent="0.3">
      <c r="A137">
        <v>1136</v>
      </c>
      <c r="B137" t="s">
        <v>80</v>
      </c>
      <c r="C137" t="s">
        <v>18</v>
      </c>
      <c r="D137">
        <v>54</v>
      </c>
      <c r="E137" t="s">
        <v>27</v>
      </c>
      <c r="F137" t="s">
        <v>28</v>
      </c>
      <c r="G137" s="3">
        <v>75394</v>
      </c>
      <c r="H137">
        <v>14</v>
      </c>
      <c r="I137" s="1">
        <v>43338</v>
      </c>
      <c r="J137" t="s">
        <v>15</v>
      </c>
      <c r="K137" t="s">
        <v>16</v>
      </c>
    </row>
    <row r="138" spans="1:11" x14ac:dyDescent="0.3">
      <c r="A138">
        <v>1137</v>
      </c>
      <c r="B138" t="s">
        <v>106</v>
      </c>
      <c r="C138" t="s">
        <v>18</v>
      </c>
      <c r="D138">
        <v>25</v>
      </c>
      <c r="E138" t="s">
        <v>27</v>
      </c>
      <c r="F138" t="s">
        <v>28</v>
      </c>
      <c r="G138" s="3">
        <v>84050</v>
      </c>
      <c r="H138">
        <v>3</v>
      </c>
      <c r="I138" s="1">
        <v>45263</v>
      </c>
      <c r="J138" t="s">
        <v>15</v>
      </c>
      <c r="K138" t="s">
        <v>16</v>
      </c>
    </row>
    <row r="139" spans="1:11" x14ac:dyDescent="0.3">
      <c r="A139">
        <v>1138</v>
      </c>
      <c r="B139" t="s">
        <v>107</v>
      </c>
      <c r="C139" t="s">
        <v>12</v>
      </c>
      <c r="D139">
        <v>55</v>
      </c>
      <c r="E139" t="s">
        <v>51</v>
      </c>
      <c r="F139" t="s">
        <v>52</v>
      </c>
      <c r="G139" s="3">
        <v>93517</v>
      </c>
      <c r="H139">
        <v>19</v>
      </c>
      <c r="I139" s="1">
        <v>43994</v>
      </c>
      <c r="J139" t="s">
        <v>31</v>
      </c>
      <c r="K139" t="s">
        <v>22</v>
      </c>
    </row>
    <row r="140" spans="1:11" x14ac:dyDescent="0.3">
      <c r="A140">
        <v>1139</v>
      </c>
      <c r="B140" t="s">
        <v>89</v>
      </c>
      <c r="C140" t="s">
        <v>18</v>
      </c>
      <c r="D140">
        <v>43</v>
      </c>
      <c r="E140" t="s">
        <v>45</v>
      </c>
      <c r="F140" t="s">
        <v>46</v>
      </c>
      <c r="G140" s="3">
        <v>33639</v>
      </c>
      <c r="H140">
        <v>10</v>
      </c>
      <c r="I140" s="1">
        <v>43730</v>
      </c>
      <c r="J140" t="s">
        <v>42</v>
      </c>
      <c r="K140" t="s">
        <v>22</v>
      </c>
    </row>
    <row r="141" spans="1:11" x14ac:dyDescent="0.3">
      <c r="A141">
        <v>1140</v>
      </c>
      <c r="B141" t="s">
        <v>60</v>
      </c>
      <c r="C141" t="s">
        <v>12</v>
      </c>
      <c r="D141">
        <v>27</v>
      </c>
      <c r="E141" t="s">
        <v>27</v>
      </c>
      <c r="F141" t="s">
        <v>28</v>
      </c>
      <c r="G141" s="3">
        <v>101380</v>
      </c>
      <c r="H141">
        <v>21</v>
      </c>
      <c r="I141" s="1">
        <v>43992</v>
      </c>
      <c r="J141" t="s">
        <v>21</v>
      </c>
      <c r="K141" t="s">
        <v>22</v>
      </c>
    </row>
    <row r="142" spans="1:11" x14ac:dyDescent="0.3">
      <c r="A142">
        <v>1141</v>
      </c>
      <c r="B142" t="s">
        <v>55</v>
      </c>
      <c r="C142" t="s">
        <v>12</v>
      </c>
      <c r="D142">
        <v>46</v>
      </c>
      <c r="E142" t="s">
        <v>24</v>
      </c>
      <c r="F142" t="s">
        <v>25</v>
      </c>
      <c r="G142" s="3">
        <v>109343</v>
      </c>
      <c r="H142">
        <v>25</v>
      </c>
      <c r="I142" s="1">
        <v>45007</v>
      </c>
      <c r="J142" t="s">
        <v>21</v>
      </c>
      <c r="K142" t="s">
        <v>16</v>
      </c>
    </row>
    <row r="143" spans="1:11" x14ac:dyDescent="0.3">
      <c r="A143">
        <v>1142</v>
      </c>
      <c r="B143" t="s">
        <v>61</v>
      </c>
      <c r="C143" t="s">
        <v>12</v>
      </c>
      <c r="D143">
        <v>23</v>
      </c>
      <c r="E143" t="s">
        <v>13</v>
      </c>
      <c r="F143" t="s">
        <v>14</v>
      </c>
      <c r="G143" s="3">
        <v>72526</v>
      </c>
      <c r="H143">
        <v>9</v>
      </c>
      <c r="I143" s="1">
        <v>43932</v>
      </c>
      <c r="J143" t="s">
        <v>29</v>
      </c>
      <c r="K143" t="s">
        <v>22</v>
      </c>
    </row>
    <row r="144" spans="1:11" x14ac:dyDescent="0.3">
      <c r="A144">
        <v>1143</v>
      </c>
      <c r="B144" t="s">
        <v>108</v>
      </c>
      <c r="C144" t="s">
        <v>18</v>
      </c>
      <c r="D144">
        <v>26</v>
      </c>
      <c r="E144" t="s">
        <v>24</v>
      </c>
      <c r="F144" t="s">
        <v>25</v>
      </c>
      <c r="G144" s="3">
        <v>63770</v>
      </c>
      <c r="H144">
        <v>27</v>
      </c>
      <c r="I144" s="1">
        <v>43733</v>
      </c>
      <c r="J144" t="s">
        <v>15</v>
      </c>
      <c r="K144" t="s">
        <v>16</v>
      </c>
    </row>
    <row r="145" spans="1:11" x14ac:dyDescent="0.3">
      <c r="A145">
        <v>1144</v>
      </c>
      <c r="B145" t="s">
        <v>89</v>
      </c>
      <c r="C145" t="s">
        <v>18</v>
      </c>
      <c r="D145">
        <v>46</v>
      </c>
      <c r="E145" t="s">
        <v>13</v>
      </c>
      <c r="F145" t="s">
        <v>14</v>
      </c>
      <c r="G145" s="3">
        <v>45218</v>
      </c>
      <c r="H145">
        <v>5</v>
      </c>
      <c r="I145" s="1">
        <v>44190</v>
      </c>
      <c r="J145" t="s">
        <v>15</v>
      </c>
      <c r="K145" t="s">
        <v>16</v>
      </c>
    </row>
    <row r="146" spans="1:11" x14ac:dyDescent="0.3">
      <c r="A146">
        <v>1145</v>
      </c>
      <c r="B146" t="s">
        <v>87</v>
      </c>
      <c r="C146" t="s">
        <v>12</v>
      </c>
      <c r="D146">
        <v>45</v>
      </c>
      <c r="E146" t="s">
        <v>13</v>
      </c>
      <c r="F146" t="s">
        <v>14</v>
      </c>
      <c r="G146" s="3">
        <v>113652</v>
      </c>
      <c r="H146">
        <v>23</v>
      </c>
      <c r="I146" s="1">
        <v>44428</v>
      </c>
      <c r="J146" t="s">
        <v>31</v>
      </c>
      <c r="K146" t="s">
        <v>22</v>
      </c>
    </row>
    <row r="147" spans="1:11" x14ac:dyDescent="0.3">
      <c r="A147">
        <v>1146</v>
      </c>
      <c r="B147" t="s">
        <v>62</v>
      </c>
      <c r="C147" t="s">
        <v>12</v>
      </c>
      <c r="D147">
        <v>52</v>
      </c>
      <c r="E147" t="s">
        <v>24</v>
      </c>
      <c r="F147" t="s">
        <v>25</v>
      </c>
      <c r="G147" s="3">
        <v>50430</v>
      </c>
      <c r="H147">
        <v>11</v>
      </c>
      <c r="I147" s="1">
        <v>45894</v>
      </c>
      <c r="J147" t="s">
        <v>31</v>
      </c>
      <c r="K147" t="s">
        <v>22</v>
      </c>
    </row>
    <row r="148" spans="1:11" x14ac:dyDescent="0.3">
      <c r="A148">
        <v>1147</v>
      </c>
      <c r="B148" t="s">
        <v>44</v>
      </c>
      <c r="C148" t="s">
        <v>18</v>
      </c>
      <c r="D148">
        <v>34</v>
      </c>
      <c r="E148" t="s">
        <v>19</v>
      </c>
      <c r="F148" t="s">
        <v>20</v>
      </c>
      <c r="G148" s="3">
        <v>104254</v>
      </c>
      <c r="H148">
        <v>4</v>
      </c>
      <c r="I148" s="1">
        <v>44582</v>
      </c>
      <c r="J148" t="s">
        <v>42</v>
      </c>
      <c r="K148" t="s">
        <v>22</v>
      </c>
    </row>
    <row r="149" spans="1:11" x14ac:dyDescent="0.3">
      <c r="A149">
        <v>1148</v>
      </c>
      <c r="B149" t="s">
        <v>39</v>
      </c>
      <c r="C149" t="s">
        <v>18</v>
      </c>
      <c r="D149">
        <v>40</v>
      </c>
      <c r="E149" t="s">
        <v>19</v>
      </c>
      <c r="F149" t="s">
        <v>20</v>
      </c>
      <c r="G149" s="3">
        <v>35993</v>
      </c>
      <c r="H149">
        <v>24</v>
      </c>
      <c r="I149" s="1">
        <v>43966</v>
      </c>
      <c r="J149" t="s">
        <v>15</v>
      </c>
      <c r="K149" t="s">
        <v>16</v>
      </c>
    </row>
    <row r="150" spans="1:11" x14ac:dyDescent="0.3">
      <c r="A150">
        <v>1149</v>
      </c>
      <c r="B150" t="s">
        <v>109</v>
      </c>
      <c r="C150" t="s">
        <v>12</v>
      </c>
      <c r="D150">
        <v>44</v>
      </c>
      <c r="E150" t="s">
        <v>45</v>
      </c>
      <c r="F150" t="s">
        <v>46</v>
      </c>
      <c r="G150" s="3">
        <v>28495</v>
      </c>
      <c r="H150">
        <v>13</v>
      </c>
      <c r="I150" s="1">
        <v>43298</v>
      </c>
      <c r="J150" t="s">
        <v>31</v>
      </c>
      <c r="K150" t="s">
        <v>16</v>
      </c>
    </row>
    <row r="151" spans="1:11" x14ac:dyDescent="0.3">
      <c r="A151">
        <v>1150</v>
      </c>
      <c r="B151" t="s">
        <v>66</v>
      </c>
      <c r="C151" t="s">
        <v>18</v>
      </c>
      <c r="D151">
        <v>23</v>
      </c>
      <c r="E151" t="s">
        <v>45</v>
      </c>
      <c r="F151" t="s">
        <v>46</v>
      </c>
      <c r="G151" s="3">
        <v>66770</v>
      </c>
      <c r="H151">
        <v>29</v>
      </c>
      <c r="I151" s="1">
        <v>43820</v>
      </c>
      <c r="J151" t="s">
        <v>31</v>
      </c>
      <c r="K151" t="s">
        <v>16</v>
      </c>
    </row>
    <row r="152" spans="1:11" x14ac:dyDescent="0.3">
      <c r="A152">
        <v>1151</v>
      </c>
      <c r="B152" t="s">
        <v>110</v>
      </c>
      <c r="C152" t="s">
        <v>12</v>
      </c>
      <c r="D152">
        <v>30</v>
      </c>
      <c r="E152" t="s">
        <v>24</v>
      </c>
      <c r="F152" t="s">
        <v>25</v>
      </c>
      <c r="G152" s="3">
        <v>117476</v>
      </c>
      <c r="H152">
        <v>15</v>
      </c>
      <c r="I152" s="1">
        <v>45931</v>
      </c>
      <c r="J152" t="s">
        <v>37</v>
      </c>
      <c r="K152" t="s">
        <v>16</v>
      </c>
    </row>
    <row r="153" spans="1:11" x14ac:dyDescent="0.3">
      <c r="A153">
        <v>1152</v>
      </c>
      <c r="B153" t="s">
        <v>99</v>
      </c>
      <c r="C153" t="s">
        <v>12</v>
      </c>
      <c r="D153">
        <v>29</v>
      </c>
      <c r="E153" t="s">
        <v>27</v>
      </c>
      <c r="F153" t="s">
        <v>28</v>
      </c>
      <c r="G153" s="3">
        <v>62762</v>
      </c>
      <c r="H153">
        <v>7</v>
      </c>
      <c r="I153" s="1">
        <v>44594</v>
      </c>
      <c r="J153" t="s">
        <v>26</v>
      </c>
      <c r="K153" t="s">
        <v>22</v>
      </c>
    </row>
    <row r="154" spans="1:11" x14ac:dyDescent="0.3">
      <c r="A154">
        <v>1153</v>
      </c>
      <c r="B154" t="s">
        <v>106</v>
      </c>
      <c r="C154" t="s">
        <v>18</v>
      </c>
      <c r="D154">
        <v>29</v>
      </c>
      <c r="E154" t="s">
        <v>13</v>
      </c>
      <c r="F154" t="s">
        <v>14</v>
      </c>
      <c r="G154" s="3">
        <v>90513</v>
      </c>
      <c r="H154">
        <v>19</v>
      </c>
      <c r="I154" s="1">
        <v>43421</v>
      </c>
      <c r="J154" t="s">
        <v>15</v>
      </c>
      <c r="K154" t="s">
        <v>16</v>
      </c>
    </row>
    <row r="155" spans="1:11" x14ac:dyDescent="0.3">
      <c r="A155">
        <v>1154</v>
      </c>
      <c r="B155" t="s">
        <v>111</v>
      </c>
      <c r="C155" t="s">
        <v>12</v>
      </c>
      <c r="D155">
        <v>22</v>
      </c>
      <c r="E155" t="s">
        <v>13</v>
      </c>
      <c r="F155" t="s">
        <v>14</v>
      </c>
      <c r="G155" s="3">
        <v>105584</v>
      </c>
      <c r="H155">
        <v>11</v>
      </c>
      <c r="I155" s="1">
        <v>44483</v>
      </c>
      <c r="J155" t="s">
        <v>26</v>
      </c>
      <c r="K155" t="s">
        <v>16</v>
      </c>
    </row>
    <row r="156" spans="1:11" x14ac:dyDescent="0.3">
      <c r="A156">
        <v>1155</v>
      </c>
      <c r="B156" t="s">
        <v>58</v>
      </c>
      <c r="C156" t="s">
        <v>18</v>
      </c>
      <c r="D156">
        <v>46</v>
      </c>
      <c r="E156" t="s">
        <v>19</v>
      </c>
      <c r="F156" t="s">
        <v>20</v>
      </c>
      <c r="G156" s="3">
        <v>86621</v>
      </c>
      <c r="H156">
        <v>1</v>
      </c>
      <c r="I156" s="1">
        <v>45452</v>
      </c>
      <c r="J156" t="s">
        <v>21</v>
      </c>
      <c r="K156" t="s">
        <v>16</v>
      </c>
    </row>
    <row r="157" spans="1:11" x14ac:dyDescent="0.3">
      <c r="A157">
        <v>1156</v>
      </c>
      <c r="B157" t="s">
        <v>66</v>
      </c>
      <c r="C157" t="s">
        <v>18</v>
      </c>
      <c r="D157">
        <v>28</v>
      </c>
      <c r="E157" t="s">
        <v>27</v>
      </c>
      <c r="F157" t="s">
        <v>28</v>
      </c>
      <c r="G157" s="3">
        <v>101271</v>
      </c>
      <c r="H157">
        <v>23</v>
      </c>
      <c r="I157" s="1">
        <v>44987</v>
      </c>
      <c r="J157" t="s">
        <v>31</v>
      </c>
      <c r="K157" t="s">
        <v>22</v>
      </c>
    </row>
    <row r="158" spans="1:11" x14ac:dyDescent="0.3">
      <c r="A158">
        <v>1157</v>
      </c>
      <c r="B158" t="s">
        <v>38</v>
      </c>
      <c r="C158" t="s">
        <v>12</v>
      </c>
      <c r="D158">
        <v>33</v>
      </c>
      <c r="E158" t="s">
        <v>13</v>
      </c>
      <c r="F158" t="s">
        <v>14</v>
      </c>
      <c r="G158" s="3">
        <v>42675</v>
      </c>
      <c r="H158">
        <v>2</v>
      </c>
      <c r="I158" s="1">
        <v>45667</v>
      </c>
      <c r="J158" t="s">
        <v>26</v>
      </c>
      <c r="K158" t="s">
        <v>16</v>
      </c>
    </row>
    <row r="159" spans="1:11" x14ac:dyDescent="0.3">
      <c r="A159">
        <v>1158</v>
      </c>
      <c r="B159" t="s">
        <v>110</v>
      </c>
      <c r="C159" t="s">
        <v>12</v>
      </c>
      <c r="D159">
        <v>54</v>
      </c>
      <c r="E159" t="s">
        <v>24</v>
      </c>
      <c r="F159" t="s">
        <v>25</v>
      </c>
      <c r="G159" s="3">
        <v>77196</v>
      </c>
      <c r="H159">
        <v>26</v>
      </c>
      <c r="I159" s="1">
        <v>45779</v>
      </c>
      <c r="J159" t="s">
        <v>29</v>
      </c>
      <c r="K159" t="s">
        <v>16</v>
      </c>
    </row>
    <row r="160" spans="1:11" x14ac:dyDescent="0.3">
      <c r="A160">
        <v>1159</v>
      </c>
      <c r="B160" t="s">
        <v>58</v>
      </c>
      <c r="C160" t="s">
        <v>12</v>
      </c>
      <c r="D160">
        <v>39</v>
      </c>
      <c r="E160" t="s">
        <v>27</v>
      </c>
      <c r="F160" t="s">
        <v>28</v>
      </c>
      <c r="G160" s="3">
        <v>41315</v>
      </c>
      <c r="H160">
        <v>25</v>
      </c>
      <c r="I160" s="1">
        <v>45120</v>
      </c>
      <c r="J160" t="s">
        <v>21</v>
      </c>
      <c r="K160" t="s">
        <v>22</v>
      </c>
    </row>
    <row r="161" spans="1:11" x14ac:dyDescent="0.3">
      <c r="A161">
        <v>1160</v>
      </c>
      <c r="B161" t="s">
        <v>104</v>
      </c>
      <c r="C161" t="s">
        <v>12</v>
      </c>
      <c r="D161">
        <v>53</v>
      </c>
      <c r="E161" t="s">
        <v>45</v>
      </c>
      <c r="F161" t="s">
        <v>46</v>
      </c>
      <c r="G161" s="3">
        <v>73148</v>
      </c>
      <c r="H161">
        <v>29</v>
      </c>
      <c r="I161" s="1">
        <v>44616</v>
      </c>
      <c r="J161" t="s">
        <v>42</v>
      </c>
      <c r="K161" t="s">
        <v>16</v>
      </c>
    </row>
    <row r="162" spans="1:11" x14ac:dyDescent="0.3">
      <c r="A162">
        <v>1161</v>
      </c>
      <c r="B162" t="s">
        <v>60</v>
      </c>
      <c r="C162" t="s">
        <v>12</v>
      </c>
      <c r="D162">
        <v>42</v>
      </c>
      <c r="E162" t="s">
        <v>45</v>
      </c>
      <c r="F162" t="s">
        <v>46</v>
      </c>
      <c r="G162" s="3">
        <v>38447</v>
      </c>
      <c r="H162">
        <v>2</v>
      </c>
      <c r="I162" s="1">
        <v>45240</v>
      </c>
      <c r="J162" t="s">
        <v>31</v>
      </c>
      <c r="K162" t="s">
        <v>22</v>
      </c>
    </row>
    <row r="163" spans="1:11" x14ac:dyDescent="0.3">
      <c r="A163">
        <v>1162</v>
      </c>
      <c r="B163" t="s">
        <v>72</v>
      </c>
      <c r="C163" t="s">
        <v>12</v>
      </c>
      <c r="D163">
        <v>44</v>
      </c>
      <c r="E163" t="s">
        <v>19</v>
      </c>
      <c r="F163" t="s">
        <v>20</v>
      </c>
      <c r="G163" s="3">
        <v>83606</v>
      </c>
      <c r="H163">
        <v>1</v>
      </c>
      <c r="I163" s="1">
        <v>45213</v>
      </c>
      <c r="J163" t="s">
        <v>31</v>
      </c>
      <c r="K163" t="s">
        <v>16</v>
      </c>
    </row>
    <row r="164" spans="1:11" x14ac:dyDescent="0.3">
      <c r="A164">
        <v>1163</v>
      </c>
      <c r="B164" t="s">
        <v>50</v>
      </c>
      <c r="C164" t="s">
        <v>18</v>
      </c>
      <c r="D164">
        <v>23</v>
      </c>
      <c r="E164" t="s">
        <v>51</v>
      </c>
      <c r="F164" t="s">
        <v>52</v>
      </c>
      <c r="G164" s="3">
        <v>43714</v>
      </c>
      <c r="H164">
        <v>27</v>
      </c>
      <c r="I164" s="1">
        <v>45662</v>
      </c>
      <c r="J164" t="s">
        <v>37</v>
      </c>
      <c r="K164" t="s">
        <v>16</v>
      </c>
    </row>
    <row r="165" spans="1:11" x14ac:dyDescent="0.3">
      <c r="A165">
        <v>1164</v>
      </c>
      <c r="B165" t="s">
        <v>93</v>
      </c>
      <c r="C165" t="s">
        <v>12</v>
      </c>
      <c r="D165">
        <v>24</v>
      </c>
      <c r="E165" t="s">
        <v>13</v>
      </c>
      <c r="F165" t="s">
        <v>14</v>
      </c>
      <c r="G165" s="3">
        <v>104310</v>
      </c>
      <c r="H165">
        <v>4</v>
      </c>
      <c r="I165" s="1">
        <v>45820</v>
      </c>
      <c r="J165" t="s">
        <v>42</v>
      </c>
      <c r="K165" t="s">
        <v>16</v>
      </c>
    </row>
    <row r="166" spans="1:11" x14ac:dyDescent="0.3">
      <c r="A166">
        <v>1165</v>
      </c>
      <c r="B166" t="s">
        <v>96</v>
      </c>
      <c r="C166" t="s">
        <v>12</v>
      </c>
      <c r="D166">
        <v>47</v>
      </c>
      <c r="E166" t="s">
        <v>19</v>
      </c>
      <c r="F166" t="s">
        <v>20</v>
      </c>
      <c r="G166" s="3">
        <v>66207</v>
      </c>
      <c r="H166">
        <v>20</v>
      </c>
      <c r="I166" s="1">
        <v>44655</v>
      </c>
      <c r="J166" t="s">
        <v>37</v>
      </c>
      <c r="K166" t="s">
        <v>16</v>
      </c>
    </row>
    <row r="167" spans="1:11" x14ac:dyDescent="0.3">
      <c r="A167">
        <v>1166</v>
      </c>
      <c r="B167" t="s">
        <v>44</v>
      </c>
      <c r="C167" t="s">
        <v>18</v>
      </c>
      <c r="D167">
        <v>38</v>
      </c>
      <c r="E167" t="s">
        <v>45</v>
      </c>
      <c r="F167" t="s">
        <v>46</v>
      </c>
      <c r="G167" s="3">
        <v>59116</v>
      </c>
      <c r="H167">
        <v>22</v>
      </c>
      <c r="I167" s="1">
        <v>45767</v>
      </c>
      <c r="J167" t="s">
        <v>31</v>
      </c>
      <c r="K167" t="s">
        <v>22</v>
      </c>
    </row>
    <row r="168" spans="1:11" x14ac:dyDescent="0.3">
      <c r="A168">
        <v>1167</v>
      </c>
      <c r="B168" t="s">
        <v>88</v>
      </c>
      <c r="C168" t="s">
        <v>18</v>
      </c>
      <c r="D168">
        <v>50</v>
      </c>
      <c r="E168" t="s">
        <v>24</v>
      </c>
      <c r="F168" t="s">
        <v>25</v>
      </c>
      <c r="G168" s="3">
        <v>47630</v>
      </c>
      <c r="H168">
        <v>28</v>
      </c>
      <c r="I168" s="1">
        <v>45714</v>
      </c>
      <c r="J168" t="s">
        <v>21</v>
      </c>
      <c r="K168" t="s">
        <v>22</v>
      </c>
    </row>
    <row r="169" spans="1:11" x14ac:dyDescent="0.3">
      <c r="A169">
        <v>1168</v>
      </c>
      <c r="B169" t="s">
        <v>58</v>
      </c>
      <c r="C169" t="s">
        <v>12</v>
      </c>
      <c r="D169">
        <v>41</v>
      </c>
      <c r="E169" t="s">
        <v>13</v>
      </c>
      <c r="F169" t="s">
        <v>14</v>
      </c>
      <c r="G169" s="3">
        <v>45644</v>
      </c>
      <c r="H169">
        <v>22</v>
      </c>
      <c r="I169" s="1">
        <v>43999</v>
      </c>
      <c r="J169" t="s">
        <v>26</v>
      </c>
      <c r="K169" t="s">
        <v>16</v>
      </c>
    </row>
    <row r="170" spans="1:11" x14ac:dyDescent="0.3">
      <c r="A170">
        <v>1169</v>
      </c>
      <c r="B170" t="s">
        <v>105</v>
      </c>
      <c r="C170" t="s">
        <v>12</v>
      </c>
      <c r="D170">
        <v>23</v>
      </c>
      <c r="E170" t="s">
        <v>24</v>
      </c>
      <c r="F170" t="s">
        <v>25</v>
      </c>
      <c r="G170" s="3">
        <v>72303</v>
      </c>
      <c r="H170">
        <v>17</v>
      </c>
      <c r="I170" s="1">
        <v>45164</v>
      </c>
      <c r="J170" t="s">
        <v>15</v>
      </c>
      <c r="K170" t="s">
        <v>16</v>
      </c>
    </row>
    <row r="171" spans="1:11" x14ac:dyDescent="0.3">
      <c r="A171">
        <v>1170</v>
      </c>
      <c r="B171" t="s">
        <v>41</v>
      </c>
      <c r="C171" t="s">
        <v>12</v>
      </c>
      <c r="D171">
        <v>47</v>
      </c>
      <c r="E171" t="s">
        <v>19</v>
      </c>
      <c r="F171" t="s">
        <v>20</v>
      </c>
      <c r="G171" s="3">
        <v>118969</v>
      </c>
      <c r="H171">
        <v>23</v>
      </c>
      <c r="I171" s="1">
        <v>45914</v>
      </c>
      <c r="J171" t="s">
        <v>29</v>
      </c>
      <c r="K171" t="s">
        <v>22</v>
      </c>
    </row>
    <row r="172" spans="1:11" x14ac:dyDescent="0.3">
      <c r="A172">
        <v>1171</v>
      </c>
      <c r="B172" t="s">
        <v>109</v>
      </c>
      <c r="C172" t="s">
        <v>12</v>
      </c>
      <c r="D172">
        <v>26</v>
      </c>
      <c r="E172" t="s">
        <v>19</v>
      </c>
      <c r="F172" t="s">
        <v>20</v>
      </c>
      <c r="G172" s="3">
        <v>83979</v>
      </c>
      <c r="H172">
        <v>14</v>
      </c>
      <c r="I172" s="1">
        <v>45012</v>
      </c>
      <c r="J172" t="s">
        <v>29</v>
      </c>
      <c r="K172" t="s">
        <v>16</v>
      </c>
    </row>
    <row r="173" spans="1:11" x14ac:dyDescent="0.3">
      <c r="A173">
        <v>1172</v>
      </c>
      <c r="B173" t="s">
        <v>61</v>
      </c>
      <c r="C173" t="s">
        <v>18</v>
      </c>
      <c r="D173">
        <v>29</v>
      </c>
      <c r="E173" t="s">
        <v>24</v>
      </c>
      <c r="F173" t="s">
        <v>25</v>
      </c>
      <c r="G173" s="3">
        <v>92908</v>
      </c>
      <c r="H173">
        <v>4</v>
      </c>
      <c r="I173" s="1">
        <v>44626</v>
      </c>
      <c r="J173" t="s">
        <v>31</v>
      </c>
      <c r="K173" t="s">
        <v>16</v>
      </c>
    </row>
    <row r="174" spans="1:11" x14ac:dyDescent="0.3">
      <c r="A174">
        <v>1173</v>
      </c>
      <c r="B174" t="s">
        <v>78</v>
      </c>
      <c r="C174" t="s">
        <v>18</v>
      </c>
      <c r="D174">
        <v>38</v>
      </c>
      <c r="E174" t="s">
        <v>27</v>
      </c>
      <c r="F174" t="s">
        <v>28</v>
      </c>
      <c r="G174" s="3">
        <v>50729</v>
      </c>
      <c r="H174">
        <v>20</v>
      </c>
      <c r="I174" s="1">
        <v>44641</v>
      </c>
      <c r="J174" t="s">
        <v>31</v>
      </c>
      <c r="K174" t="s">
        <v>16</v>
      </c>
    </row>
    <row r="175" spans="1:11" x14ac:dyDescent="0.3">
      <c r="A175">
        <v>1174</v>
      </c>
      <c r="B175" t="s">
        <v>33</v>
      </c>
      <c r="C175" t="s">
        <v>18</v>
      </c>
      <c r="D175">
        <v>32</v>
      </c>
      <c r="E175" t="s">
        <v>19</v>
      </c>
      <c r="F175" t="s">
        <v>20</v>
      </c>
      <c r="G175" s="3">
        <v>111341</v>
      </c>
      <c r="H175">
        <v>19</v>
      </c>
      <c r="I175" s="1">
        <v>45201</v>
      </c>
      <c r="J175" t="s">
        <v>29</v>
      </c>
      <c r="K175" t="s">
        <v>16</v>
      </c>
    </row>
    <row r="176" spans="1:11" x14ac:dyDescent="0.3">
      <c r="A176">
        <v>1175</v>
      </c>
      <c r="B176" t="s">
        <v>102</v>
      </c>
      <c r="C176" t="s">
        <v>12</v>
      </c>
      <c r="D176">
        <v>35</v>
      </c>
      <c r="E176" t="s">
        <v>51</v>
      </c>
      <c r="F176" t="s">
        <v>52</v>
      </c>
      <c r="G176" s="3">
        <v>99991</v>
      </c>
      <c r="H176">
        <v>13</v>
      </c>
      <c r="I176" s="1">
        <v>43333</v>
      </c>
      <c r="J176" t="s">
        <v>15</v>
      </c>
      <c r="K176" t="s">
        <v>22</v>
      </c>
    </row>
    <row r="177" spans="1:11" x14ac:dyDescent="0.3">
      <c r="A177">
        <v>1176</v>
      </c>
      <c r="B177" t="s">
        <v>57</v>
      </c>
      <c r="C177" t="s">
        <v>18</v>
      </c>
      <c r="D177">
        <v>47</v>
      </c>
      <c r="E177" t="s">
        <v>13</v>
      </c>
      <c r="F177" t="s">
        <v>14</v>
      </c>
      <c r="G177" s="3">
        <v>63985</v>
      </c>
      <c r="H177">
        <v>14</v>
      </c>
      <c r="I177" s="1">
        <v>43801</v>
      </c>
      <c r="J177" t="s">
        <v>26</v>
      </c>
      <c r="K177" t="s">
        <v>22</v>
      </c>
    </row>
    <row r="178" spans="1:11" x14ac:dyDescent="0.3">
      <c r="A178">
        <v>1177</v>
      </c>
      <c r="B178" t="s">
        <v>35</v>
      </c>
      <c r="C178" t="s">
        <v>18</v>
      </c>
      <c r="D178">
        <v>43</v>
      </c>
      <c r="E178" t="s">
        <v>45</v>
      </c>
      <c r="F178" t="s">
        <v>46</v>
      </c>
      <c r="G178" s="3">
        <v>104516</v>
      </c>
      <c r="H178">
        <v>4</v>
      </c>
      <c r="I178" s="1">
        <v>45271</v>
      </c>
      <c r="J178" t="s">
        <v>21</v>
      </c>
      <c r="K178" t="s">
        <v>22</v>
      </c>
    </row>
    <row r="179" spans="1:11" x14ac:dyDescent="0.3">
      <c r="A179">
        <v>1178</v>
      </c>
      <c r="B179" t="s">
        <v>111</v>
      </c>
      <c r="C179" t="s">
        <v>18</v>
      </c>
      <c r="D179">
        <v>42</v>
      </c>
      <c r="E179" t="s">
        <v>45</v>
      </c>
      <c r="F179" t="s">
        <v>46</v>
      </c>
      <c r="G179" s="3">
        <v>56685</v>
      </c>
      <c r="H179">
        <v>14</v>
      </c>
      <c r="I179" s="1">
        <v>43600</v>
      </c>
      <c r="J179" t="s">
        <v>26</v>
      </c>
      <c r="K179" t="s">
        <v>16</v>
      </c>
    </row>
    <row r="180" spans="1:11" x14ac:dyDescent="0.3">
      <c r="A180">
        <v>1179</v>
      </c>
      <c r="B180" t="s">
        <v>110</v>
      </c>
      <c r="C180" t="s">
        <v>12</v>
      </c>
      <c r="D180">
        <v>48</v>
      </c>
      <c r="E180" t="s">
        <v>51</v>
      </c>
      <c r="F180" t="s">
        <v>52</v>
      </c>
      <c r="G180" s="3">
        <v>57541</v>
      </c>
      <c r="H180">
        <v>30</v>
      </c>
      <c r="I180" s="1">
        <v>44001</v>
      </c>
      <c r="J180" t="s">
        <v>21</v>
      </c>
      <c r="K180" t="s">
        <v>22</v>
      </c>
    </row>
    <row r="181" spans="1:11" x14ac:dyDescent="0.3">
      <c r="A181">
        <v>1180</v>
      </c>
      <c r="B181" t="s">
        <v>38</v>
      </c>
      <c r="C181" t="s">
        <v>12</v>
      </c>
      <c r="D181">
        <v>53</v>
      </c>
      <c r="E181" t="s">
        <v>24</v>
      </c>
      <c r="F181" t="s">
        <v>25</v>
      </c>
      <c r="G181" s="3">
        <v>65441</v>
      </c>
      <c r="H181">
        <v>15</v>
      </c>
      <c r="I181" s="1">
        <v>43144</v>
      </c>
      <c r="J181" t="s">
        <v>15</v>
      </c>
      <c r="K181" t="s">
        <v>22</v>
      </c>
    </row>
    <row r="182" spans="1:11" x14ac:dyDescent="0.3">
      <c r="A182">
        <v>1181</v>
      </c>
      <c r="B182" t="s">
        <v>98</v>
      </c>
      <c r="C182" t="s">
        <v>12</v>
      </c>
      <c r="D182">
        <v>25</v>
      </c>
      <c r="E182" t="s">
        <v>24</v>
      </c>
      <c r="F182" t="s">
        <v>25</v>
      </c>
      <c r="G182" s="3">
        <v>31624</v>
      </c>
      <c r="H182">
        <v>9</v>
      </c>
      <c r="I182" s="1">
        <v>45957</v>
      </c>
      <c r="J182" t="s">
        <v>21</v>
      </c>
      <c r="K182" t="s">
        <v>22</v>
      </c>
    </row>
    <row r="183" spans="1:11" x14ac:dyDescent="0.3">
      <c r="A183">
        <v>1182</v>
      </c>
      <c r="B183" t="s">
        <v>112</v>
      </c>
      <c r="C183" t="s">
        <v>18</v>
      </c>
      <c r="D183">
        <v>49</v>
      </c>
      <c r="E183" t="s">
        <v>27</v>
      </c>
      <c r="F183" t="s">
        <v>28</v>
      </c>
      <c r="G183" s="3">
        <v>42555</v>
      </c>
      <c r="H183">
        <v>28</v>
      </c>
      <c r="I183" s="1">
        <v>44907</v>
      </c>
      <c r="J183" t="s">
        <v>29</v>
      </c>
      <c r="K183" t="s">
        <v>22</v>
      </c>
    </row>
    <row r="184" spans="1:11" x14ac:dyDescent="0.3">
      <c r="A184">
        <v>1183</v>
      </c>
      <c r="B184" t="s">
        <v>113</v>
      </c>
      <c r="C184" t="s">
        <v>18</v>
      </c>
      <c r="D184">
        <v>34</v>
      </c>
      <c r="E184" t="s">
        <v>27</v>
      </c>
      <c r="F184" t="s">
        <v>28</v>
      </c>
      <c r="G184" s="3">
        <v>72516</v>
      </c>
      <c r="H184">
        <v>17</v>
      </c>
      <c r="I184" s="1">
        <v>44605</v>
      </c>
      <c r="J184" t="s">
        <v>15</v>
      </c>
      <c r="K184" t="s">
        <v>22</v>
      </c>
    </row>
    <row r="185" spans="1:11" x14ac:dyDescent="0.3">
      <c r="A185">
        <v>1184</v>
      </c>
      <c r="B185" t="s">
        <v>84</v>
      </c>
      <c r="C185" t="s">
        <v>18</v>
      </c>
      <c r="D185">
        <v>30</v>
      </c>
      <c r="E185" t="s">
        <v>19</v>
      </c>
      <c r="F185" t="s">
        <v>20</v>
      </c>
      <c r="G185" s="3">
        <v>37672</v>
      </c>
      <c r="H185">
        <v>12</v>
      </c>
      <c r="I185" s="1">
        <v>45095</v>
      </c>
      <c r="J185" t="s">
        <v>31</v>
      </c>
      <c r="K185" t="s">
        <v>16</v>
      </c>
    </row>
    <row r="186" spans="1:11" x14ac:dyDescent="0.3">
      <c r="A186">
        <v>1185</v>
      </c>
      <c r="B186" t="s">
        <v>114</v>
      </c>
      <c r="C186" t="s">
        <v>12</v>
      </c>
      <c r="D186">
        <v>54</v>
      </c>
      <c r="E186" t="s">
        <v>24</v>
      </c>
      <c r="F186" t="s">
        <v>25</v>
      </c>
      <c r="G186" s="3">
        <v>30276</v>
      </c>
      <c r="H186">
        <v>1</v>
      </c>
      <c r="I186" s="1">
        <v>43182</v>
      </c>
      <c r="J186" t="s">
        <v>31</v>
      </c>
      <c r="K186" t="s">
        <v>22</v>
      </c>
    </row>
    <row r="187" spans="1:11" x14ac:dyDescent="0.3">
      <c r="A187">
        <v>1186</v>
      </c>
      <c r="B187" t="s">
        <v>79</v>
      </c>
      <c r="C187" t="s">
        <v>18</v>
      </c>
      <c r="D187">
        <v>42</v>
      </c>
      <c r="E187" t="s">
        <v>19</v>
      </c>
      <c r="F187" t="s">
        <v>20</v>
      </c>
      <c r="G187" s="3">
        <v>105356</v>
      </c>
      <c r="H187">
        <v>10</v>
      </c>
      <c r="I187" s="1">
        <v>44032</v>
      </c>
      <c r="J187" t="s">
        <v>21</v>
      </c>
      <c r="K187" t="s">
        <v>22</v>
      </c>
    </row>
    <row r="188" spans="1:11" x14ac:dyDescent="0.3">
      <c r="A188">
        <v>1187</v>
      </c>
      <c r="B188" t="s">
        <v>89</v>
      </c>
      <c r="C188" t="s">
        <v>12</v>
      </c>
      <c r="D188">
        <v>41</v>
      </c>
      <c r="E188" t="s">
        <v>19</v>
      </c>
      <c r="F188" t="s">
        <v>20</v>
      </c>
      <c r="G188" s="3">
        <v>87245</v>
      </c>
      <c r="H188">
        <v>26</v>
      </c>
      <c r="I188" s="1">
        <v>43262</v>
      </c>
      <c r="J188" t="s">
        <v>21</v>
      </c>
      <c r="K188" t="s">
        <v>16</v>
      </c>
    </row>
    <row r="189" spans="1:11" x14ac:dyDescent="0.3">
      <c r="A189">
        <v>1188</v>
      </c>
      <c r="B189" t="s">
        <v>69</v>
      </c>
      <c r="C189" t="s">
        <v>18</v>
      </c>
      <c r="D189">
        <v>52</v>
      </c>
      <c r="E189" t="s">
        <v>45</v>
      </c>
      <c r="F189" t="s">
        <v>46</v>
      </c>
      <c r="G189" s="3">
        <v>59803</v>
      </c>
      <c r="H189">
        <v>30</v>
      </c>
      <c r="I189" s="1">
        <v>44532</v>
      </c>
      <c r="J189" t="s">
        <v>15</v>
      </c>
      <c r="K189" t="s">
        <v>22</v>
      </c>
    </row>
    <row r="190" spans="1:11" x14ac:dyDescent="0.3">
      <c r="A190">
        <v>1189</v>
      </c>
      <c r="B190" t="s">
        <v>43</v>
      </c>
      <c r="C190" t="s">
        <v>12</v>
      </c>
      <c r="D190">
        <v>31</v>
      </c>
      <c r="E190" t="s">
        <v>24</v>
      </c>
      <c r="F190" t="s">
        <v>25</v>
      </c>
      <c r="G190" s="3">
        <v>114224</v>
      </c>
      <c r="H190">
        <v>7</v>
      </c>
      <c r="I190" s="1">
        <v>43396</v>
      </c>
      <c r="J190" t="s">
        <v>37</v>
      </c>
      <c r="K190" t="s">
        <v>16</v>
      </c>
    </row>
    <row r="191" spans="1:11" x14ac:dyDescent="0.3">
      <c r="A191">
        <v>1190</v>
      </c>
      <c r="B191" t="s">
        <v>54</v>
      </c>
      <c r="C191" t="s">
        <v>12</v>
      </c>
      <c r="D191">
        <v>31</v>
      </c>
      <c r="E191" t="s">
        <v>51</v>
      </c>
      <c r="F191" t="s">
        <v>52</v>
      </c>
      <c r="G191" s="3">
        <v>79127</v>
      </c>
      <c r="H191">
        <v>22</v>
      </c>
      <c r="I191" s="1">
        <v>44394</v>
      </c>
      <c r="J191" t="s">
        <v>29</v>
      </c>
      <c r="K191" t="s">
        <v>22</v>
      </c>
    </row>
    <row r="192" spans="1:11" x14ac:dyDescent="0.3">
      <c r="A192">
        <v>1191</v>
      </c>
      <c r="B192" t="s">
        <v>90</v>
      </c>
      <c r="C192" t="s">
        <v>18</v>
      </c>
      <c r="D192">
        <v>42</v>
      </c>
      <c r="E192" t="s">
        <v>13</v>
      </c>
      <c r="F192" t="s">
        <v>14</v>
      </c>
      <c r="G192" s="3">
        <v>111799</v>
      </c>
      <c r="H192">
        <v>15</v>
      </c>
      <c r="I192" s="1">
        <v>45449</v>
      </c>
      <c r="J192" t="s">
        <v>42</v>
      </c>
      <c r="K192" t="s">
        <v>22</v>
      </c>
    </row>
    <row r="193" spans="1:11" x14ac:dyDescent="0.3">
      <c r="A193">
        <v>1192</v>
      </c>
      <c r="B193" t="s">
        <v>93</v>
      </c>
      <c r="C193" t="s">
        <v>12</v>
      </c>
      <c r="D193">
        <v>34</v>
      </c>
      <c r="E193" t="s">
        <v>19</v>
      </c>
      <c r="F193" t="s">
        <v>20</v>
      </c>
      <c r="G193" s="3">
        <v>57311</v>
      </c>
      <c r="H193">
        <v>8</v>
      </c>
      <c r="I193" s="1">
        <v>44661</v>
      </c>
      <c r="J193" t="s">
        <v>29</v>
      </c>
      <c r="K193" t="s">
        <v>22</v>
      </c>
    </row>
    <row r="194" spans="1:11" x14ac:dyDescent="0.3">
      <c r="A194">
        <v>1193</v>
      </c>
      <c r="B194" t="s">
        <v>65</v>
      </c>
      <c r="C194" t="s">
        <v>12</v>
      </c>
      <c r="D194">
        <v>52</v>
      </c>
      <c r="E194" t="s">
        <v>13</v>
      </c>
      <c r="F194" t="s">
        <v>14</v>
      </c>
      <c r="G194" s="3">
        <v>70718</v>
      </c>
      <c r="H194">
        <v>17</v>
      </c>
      <c r="I194" s="1">
        <v>44685</v>
      </c>
      <c r="J194" t="s">
        <v>15</v>
      </c>
      <c r="K194" t="s">
        <v>22</v>
      </c>
    </row>
    <row r="195" spans="1:11" x14ac:dyDescent="0.3">
      <c r="A195">
        <v>1194</v>
      </c>
      <c r="B195" t="s">
        <v>32</v>
      </c>
      <c r="C195" t="s">
        <v>12</v>
      </c>
      <c r="D195">
        <v>24</v>
      </c>
      <c r="E195" t="s">
        <v>45</v>
      </c>
      <c r="F195" t="s">
        <v>46</v>
      </c>
      <c r="G195" s="3">
        <v>62700</v>
      </c>
      <c r="H195">
        <v>30</v>
      </c>
      <c r="I195" s="1">
        <v>43631</v>
      </c>
      <c r="J195" t="s">
        <v>21</v>
      </c>
      <c r="K195" t="s">
        <v>22</v>
      </c>
    </row>
    <row r="196" spans="1:11" x14ac:dyDescent="0.3">
      <c r="A196">
        <v>1195</v>
      </c>
      <c r="B196" t="s">
        <v>48</v>
      </c>
      <c r="C196" t="s">
        <v>18</v>
      </c>
      <c r="D196">
        <v>39</v>
      </c>
      <c r="E196" t="s">
        <v>13</v>
      </c>
      <c r="F196" t="s">
        <v>14</v>
      </c>
      <c r="G196" s="3">
        <v>98664</v>
      </c>
      <c r="H196">
        <v>22</v>
      </c>
      <c r="I196" s="1">
        <v>44624</v>
      </c>
      <c r="J196" t="s">
        <v>15</v>
      </c>
      <c r="K196" t="s">
        <v>16</v>
      </c>
    </row>
    <row r="197" spans="1:11" x14ac:dyDescent="0.3">
      <c r="A197">
        <v>1196</v>
      </c>
      <c r="B197" t="s">
        <v>102</v>
      </c>
      <c r="C197" t="s">
        <v>18</v>
      </c>
      <c r="D197">
        <v>36</v>
      </c>
      <c r="E197" t="s">
        <v>24</v>
      </c>
      <c r="F197" t="s">
        <v>25</v>
      </c>
      <c r="G197" s="3">
        <v>31880</v>
      </c>
      <c r="H197">
        <v>3</v>
      </c>
      <c r="I197" s="1">
        <v>45466</v>
      </c>
      <c r="J197" t="s">
        <v>42</v>
      </c>
      <c r="K197" t="s">
        <v>16</v>
      </c>
    </row>
    <row r="198" spans="1:11" x14ac:dyDescent="0.3">
      <c r="A198">
        <v>1197</v>
      </c>
      <c r="B198" t="s">
        <v>91</v>
      </c>
      <c r="C198" t="s">
        <v>18</v>
      </c>
      <c r="D198">
        <v>48</v>
      </c>
      <c r="E198" t="s">
        <v>13</v>
      </c>
      <c r="F198" t="s">
        <v>14</v>
      </c>
      <c r="G198" s="3">
        <v>110575</v>
      </c>
      <c r="H198">
        <v>29</v>
      </c>
      <c r="I198" s="1">
        <v>45890</v>
      </c>
      <c r="J198" t="s">
        <v>26</v>
      </c>
      <c r="K198" t="s">
        <v>22</v>
      </c>
    </row>
    <row r="199" spans="1:11" x14ac:dyDescent="0.3">
      <c r="A199">
        <v>1198</v>
      </c>
      <c r="B199" t="s">
        <v>80</v>
      </c>
      <c r="C199" t="s">
        <v>18</v>
      </c>
      <c r="D199">
        <v>36</v>
      </c>
      <c r="E199" t="s">
        <v>27</v>
      </c>
      <c r="F199" t="s">
        <v>28</v>
      </c>
      <c r="G199" s="3">
        <v>95143</v>
      </c>
      <c r="H199">
        <v>23</v>
      </c>
      <c r="I199" s="1">
        <v>43173</v>
      </c>
      <c r="J199" t="s">
        <v>29</v>
      </c>
      <c r="K199" t="s">
        <v>16</v>
      </c>
    </row>
    <row r="200" spans="1:11" x14ac:dyDescent="0.3">
      <c r="A200">
        <v>1199</v>
      </c>
      <c r="B200" t="s">
        <v>75</v>
      </c>
      <c r="C200" t="s">
        <v>18</v>
      </c>
      <c r="D200">
        <v>40</v>
      </c>
      <c r="E200" t="s">
        <v>51</v>
      </c>
      <c r="F200" t="s">
        <v>52</v>
      </c>
      <c r="G200" s="3">
        <v>29910</v>
      </c>
      <c r="H200">
        <v>0</v>
      </c>
      <c r="I200" s="1">
        <v>44854</v>
      </c>
      <c r="J200" t="s">
        <v>37</v>
      </c>
      <c r="K200" t="s">
        <v>22</v>
      </c>
    </row>
    <row r="201" spans="1:11" x14ac:dyDescent="0.3">
      <c r="A201">
        <v>1200</v>
      </c>
      <c r="B201" t="s">
        <v>23</v>
      </c>
      <c r="C201" t="s">
        <v>12</v>
      </c>
      <c r="D201">
        <v>30</v>
      </c>
      <c r="E201" t="s">
        <v>27</v>
      </c>
      <c r="F201" t="s">
        <v>28</v>
      </c>
      <c r="G201" s="3">
        <v>91088</v>
      </c>
      <c r="H201">
        <v>14</v>
      </c>
      <c r="I201" s="1">
        <v>44677</v>
      </c>
      <c r="J201" t="s">
        <v>37</v>
      </c>
      <c r="K201" t="s">
        <v>22</v>
      </c>
    </row>
    <row r="202" spans="1:11" x14ac:dyDescent="0.3">
      <c r="A202">
        <v>1201</v>
      </c>
      <c r="B202" t="s">
        <v>54</v>
      </c>
      <c r="C202" t="s">
        <v>18</v>
      </c>
      <c r="D202">
        <v>22</v>
      </c>
      <c r="E202" t="s">
        <v>24</v>
      </c>
      <c r="F202" t="s">
        <v>25</v>
      </c>
      <c r="G202" s="3">
        <v>69185</v>
      </c>
      <c r="H202">
        <v>25</v>
      </c>
      <c r="I202" s="1">
        <v>44856</v>
      </c>
      <c r="J202" t="s">
        <v>29</v>
      </c>
      <c r="K202" t="s">
        <v>16</v>
      </c>
    </row>
    <row r="203" spans="1:11" x14ac:dyDescent="0.3">
      <c r="A203">
        <v>1202</v>
      </c>
      <c r="B203" t="s">
        <v>106</v>
      </c>
      <c r="C203" t="s">
        <v>12</v>
      </c>
      <c r="D203">
        <v>54</v>
      </c>
      <c r="E203" t="s">
        <v>24</v>
      </c>
      <c r="F203" t="s">
        <v>25</v>
      </c>
      <c r="G203" s="3">
        <v>67982</v>
      </c>
      <c r="H203">
        <v>2</v>
      </c>
      <c r="I203" s="1">
        <v>45600</v>
      </c>
      <c r="J203" t="s">
        <v>26</v>
      </c>
      <c r="K203" t="s">
        <v>16</v>
      </c>
    </row>
    <row r="204" spans="1:11" x14ac:dyDescent="0.3">
      <c r="A204">
        <v>1203</v>
      </c>
      <c r="B204" t="s">
        <v>104</v>
      </c>
      <c r="C204" t="s">
        <v>18</v>
      </c>
      <c r="D204">
        <v>38</v>
      </c>
      <c r="E204" t="s">
        <v>45</v>
      </c>
      <c r="F204" t="s">
        <v>46</v>
      </c>
      <c r="G204" s="3">
        <v>75275</v>
      </c>
      <c r="H204">
        <v>7</v>
      </c>
      <c r="I204" s="1">
        <v>45788</v>
      </c>
      <c r="J204" t="s">
        <v>31</v>
      </c>
      <c r="K204" t="s">
        <v>16</v>
      </c>
    </row>
    <row r="205" spans="1:11" x14ac:dyDescent="0.3">
      <c r="A205">
        <v>1204</v>
      </c>
      <c r="B205" t="s">
        <v>32</v>
      </c>
      <c r="C205" t="s">
        <v>18</v>
      </c>
      <c r="D205">
        <v>29</v>
      </c>
      <c r="E205" t="s">
        <v>27</v>
      </c>
      <c r="F205" t="s">
        <v>28</v>
      </c>
      <c r="G205" s="3">
        <v>86000</v>
      </c>
      <c r="H205">
        <v>9</v>
      </c>
      <c r="I205" s="1">
        <v>44034</v>
      </c>
      <c r="J205" t="s">
        <v>15</v>
      </c>
      <c r="K205" t="s">
        <v>22</v>
      </c>
    </row>
    <row r="206" spans="1:11" x14ac:dyDescent="0.3">
      <c r="A206">
        <v>1205</v>
      </c>
      <c r="B206" t="s">
        <v>63</v>
      </c>
      <c r="C206" t="s">
        <v>12</v>
      </c>
      <c r="D206">
        <v>36</v>
      </c>
      <c r="E206" t="s">
        <v>13</v>
      </c>
      <c r="F206" t="s">
        <v>14</v>
      </c>
      <c r="G206" s="3">
        <v>53721</v>
      </c>
      <c r="H206">
        <v>30</v>
      </c>
      <c r="I206" s="1">
        <v>44048</v>
      </c>
      <c r="J206" t="s">
        <v>42</v>
      </c>
      <c r="K206" t="s">
        <v>22</v>
      </c>
    </row>
    <row r="207" spans="1:11" x14ac:dyDescent="0.3">
      <c r="A207">
        <v>1206</v>
      </c>
      <c r="B207" t="s">
        <v>92</v>
      </c>
      <c r="C207" t="s">
        <v>18</v>
      </c>
      <c r="D207">
        <v>37</v>
      </c>
      <c r="E207" t="s">
        <v>45</v>
      </c>
      <c r="F207" t="s">
        <v>46</v>
      </c>
      <c r="G207" s="3">
        <v>114173</v>
      </c>
      <c r="H207">
        <v>24</v>
      </c>
      <c r="I207" s="1">
        <v>43723</v>
      </c>
      <c r="J207" t="s">
        <v>15</v>
      </c>
      <c r="K207" t="s">
        <v>22</v>
      </c>
    </row>
    <row r="208" spans="1:11" x14ac:dyDescent="0.3">
      <c r="A208">
        <v>1207</v>
      </c>
      <c r="B208" t="s">
        <v>100</v>
      </c>
      <c r="C208" t="s">
        <v>18</v>
      </c>
      <c r="D208">
        <v>54</v>
      </c>
      <c r="E208" t="s">
        <v>51</v>
      </c>
      <c r="F208" t="s">
        <v>52</v>
      </c>
      <c r="G208" s="3">
        <v>51497</v>
      </c>
      <c r="H208">
        <v>18</v>
      </c>
      <c r="I208" s="1">
        <v>43901</v>
      </c>
      <c r="J208" t="s">
        <v>29</v>
      </c>
      <c r="K208" t="s">
        <v>22</v>
      </c>
    </row>
    <row r="209" spans="1:11" x14ac:dyDescent="0.3">
      <c r="A209">
        <v>1208</v>
      </c>
      <c r="B209" t="s">
        <v>98</v>
      </c>
      <c r="C209" t="s">
        <v>12</v>
      </c>
      <c r="D209">
        <v>27</v>
      </c>
      <c r="E209" t="s">
        <v>51</v>
      </c>
      <c r="F209" t="s">
        <v>52</v>
      </c>
      <c r="G209" s="3">
        <v>91895</v>
      </c>
      <c r="H209">
        <v>14</v>
      </c>
      <c r="I209" s="1">
        <v>43317</v>
      </c>
      <c r="J209" t="s">
        <v>15</v>
      </c>
      <c r="K209" t="s">
        <v>22</v>
      </c>
    </row>
    <row r="210" spans="1:11" x14ac:dyDescent="0.3">
      <c r="A210">
        <v>1209</v>
      </c>
      <c r="B210" t="s">
        <v>100</v>
      </c>
      <c r="C210" t="s">
        <v>12</v>
      </c>
      <c r="D210">
        <v>41</v>
      </c>
      <c r="E210" t="s">
        <v>45</v>
      </c>
      <c r="F210" t="s">
        <v>46</v>
      </c>
      <c r="G210" s="3">
        <v>119801</v>
      </c>
      <c r="H210">
        <v>0</v>
      </c>
      <c r="I210" s="1">
        <v>45439</v>
      </c>
      <c r="J210" t="s">
        <v>37</v>
      </c>
      <c r="K210" t="s">
        <v>16</v>
      </c>
    </row>
    <row r="211" spans="1:11" x14ac:dyDescent="0.3">
      <c r="A211">
        <v>1210</v>
      </c>
      <c r="B211" t="s">
        <v>41</v>
      </c>
      <c r="C211" t="s">
        <v>12</v>
      </c>
      <c r="D211">
        <v>44</v>
      </c>
      <c r="E211" t="s">
        <v>19</v>
      </c>
      <c r="F211" t="s">
        <v>20</v>
      </c>
      <c r="G211" s="3">
        <v>116800</v>
      </c>
      <c r="H211">
        <v>2</v>
      </c>
      <c r="I211" s="1">
        <v>43147</v>
      </c>
      <c r="J211" t="s">
        <v>37</v>
      </c>
      <c r="K211" t="s">
        <v>22</v>
      </c>
    </row>
    <row r="212" spans="1:11" x14ac:dyDescent="0.3">
      <c r="A212">
        <v>1211</v>
      </c>
      <c r="B212" t="s">
        <v>115</v>
      </c>
      <c r="C212" t="s">
        <v>12</v>
      </c>
      <c r="D212">
        <v>45</v>
      </c>
      <c r="E212" t="s">
        <v>45</v>
      </c>
      <c r="F212" t="s">
        <v>46</v>
      </c>
      <c r="G212" s="3">
        <v>75132</v>
      </c>
      <c r="H212">
        <v>14</v>
      </c>
      <c r="I212" s="1">
        <v>45476</v>
      </c>
      <c r="J212" t="s">
        <v>21</v>
      </c>
      <c r="K212" t="s">
        <v>16</v>
      </c>
    </row>
    <row r="213" spans="1:11" x14ac:dyDescent="0.3">
      <c r="A213">
        <v>1212</v>
      </c>
      <c r="B213" t="s">
        <v>58</v>
      </c>
      <c r="C213" t="s">
        <v>18</v>
      </c>
      <c r="D213">
        <v>47</v>
      </c>
      <c r="E213" t="s">
        <v>13</v>
      </c>
      <c r="F213" t="s">
        <v>14</v>
      </c>
      <c r="G213" s="3">
        <v>94316</v>
      </c>
      <c r="H213">
        <v>4</v>
      </c>
      <c r="I213" s="1">
        <v>44221</v>
      </c>
      <c r="J213" t="s">
        <v>37</v>
      </c>
      <c r="K213" t="s">
        <v>22</v>
      </c>
    </row>
    <row r="214" spans="1:11" x14ac:dyDescent="0.3">
      <c r="A214">
        <v>1213</v>
      </c>
      <c r="B214" t="s">
        <v>92</v>
      </c>
      <c r="C214" t="s">
        <v>12</v>
      </c>
      <c r="D214">
        <v>36</v>
      </c>
      <c r="E214" t="s">
        <v>45</v>
      </c>
      <c r="F214" t="s">
        <v>46</v>
      </c>
      <c r="G214" s="3">
        <v>57441</v>
      </c>
      <c r="H214">
        <v>14</v>
      </c>
      <c r="I214" s="1">
        <v>44994</v>
      </c>
      <c r="J214" t="s">
        <v>26</v>
      </c>
      <c r="K214" t="s">
        <v>16</v>
      </c>
    </row>
    <row r="215" spans="1:11" x14ac:dyDescent="0.3">
      <c r="A215">
        <v>1214</v>
      </c>
      <c r="B215" t="s">
        <v>61</v>
      </c>
      <c r="C215" t="s">
        <v>18</v>
      </c>
      <c r="D215">
        <v>37</v>
      </c>
      <c r="E215" t="s">
        <v>51</v>
      </c>
      <c r="F215" t="s">
        <v>52</v>
      </c>
      <c r="G215" s="3">
        <v>52011</v>
      </c>
      <c r="H215">
        <v>2</v>
      </c>
      <c r="I215" s="1">
        <v>43740</v>
      </c>
      <c r="J215" t="s">
        <v>42</v>
      </c>
      <c r="K215" t="s">
        <v>16</v>
      </c>
    </row>
    <row r="216" spans="1:11" x14ac:dyDescent="0.3">
      <c r="A216">
        <v>1215</v>
      </c>
      <c r="B216" t="s">
        <v>113</v>
      </c>
      <c r="C216" t="s">
        <v>12</v>
      </c>
      <c r="D216">
        <v>36</v>
      </c>
      <c r="E216" t="s">
        <v>24</v>
      </c>
      <c r="F216" t="s">
        <v>25</v>
      </c>
      <c r="G216" s="3">
        <v>95747</v>
      </c>
      <c r="H216">
        <v>6</v>
      </c>
      <c r="I216" s="1">
        <v>43176</v>
      </c>
      <c r="J216" t="s">
        <v>31</v>
      </c>
      <c r="K216" t="s">
        <v>16</v>
      </c>
    </row>
    <row r="217" spans="1:11" x14ac:dyDescent="0.3">
      <c r="A217">
        <v>1216</v>
      </c>
      <c r="B217" t="s">
        <v>69</v>
      </c>
      <c r="C217" t="s">
        <v>12</v>
      </c>
      <c r="D217">
        <v>37</v>
      </c>
      <c r="E217" t="s">
        <v>13</v>
      </c>
      <c r="F217" t="s">
        <v>14</v>
      </c>
      <c r="G217" s="3">
        <v>64552</v>
      </c>
      <c r="H217">
        <v>28</v>
      </c>
      <c r="I217" s="1">
        <v>44152</v>
      </c>
      <c r="J217" t="s">
        <v>26</v>
      </c>
      <c r="K217" t="s">
        <v>22</v>
      </c>
    </row>
    <row r="218" spans="1:11" x14ac:dyDescent="0.3">
      <c r="A218">
        <v>1217</v>
      </c>
      <c r="B218" t="s">
        <v>67</v>
      </c>
      <c r="C218" t="s">
        <v>18</v>
      </c>
      <c r="D218">
        <v>49</v>
      </c>
      <c r="E218" t="s">
        <v>27</v>
      </c>
      <c r="F218" t="s">
        <v>28</v>
      </c>
      <c r="G218" s="3">
        <v>97856</v>
      </c>
      <c r="H218">
        <v>15</v>
      </c>
      <c r="I218" s="1">
        <v>43272</v>
      </c>
      <c r="J218" t="s">
        <v>21</v>
      </c>
      <c r="K218" t="s">
        <v>22</v>
      </c>
    </row>
    <row r="219" spans="1:11" x14ac:dyDescent="0.3">
      <c r="A219">
        <v>1218</v>
      </c>
      <c r="B219" t="s">
        <v>64</v>
      </c>
      <c r="C219" t="s">
        <v>12</v>
      </c>
      <c r="D219">
        <v>31</v>
      </c>
      <c r="E219" t="s">
        <v>19</v>
      </c>
      <c r="F219" t="s">
        <v>20</v>
      </c>
      <c r="G219" s="3">
        <v>64306</v>
      </c>
      <c r="H219">
        <v>12</v>
      </c>
      <c r="I219" s="1">
        <v>44090</v>
      </c>
      <c r="J219" t="s">
        <v>26</v>
      </c>
      <c r="K219" t="s">
        <v>16</v>
      </c>
    </row>
    <row r="220" spans="1:11" x14ac:dyDescent="0.3">
      <c r="A220">
        <v>1219</v>
      </c>
      <c r="B220" t="s">
        <v>116</v>
      </c>
      <c r="C220" t="s">
        <v>18</v>
      </c>
      <c r="D220">
        <v>48</v>
      </c>
      <c r="E220" t="s">
        <v>27</v>
      </c>
      <c r="F220" t="s">
        <v>28</v>
      </c>
      <c r="G220" s="3">
        <v>79592</v>
      </c>
      <c r="H220">
        <v>17</v>
      </c>
      <c r="I220" s="1">
        <v>44020</v>
      </c>
      <c r="J220" t="s">
        <v>31</v>
      </c>
      <c r="K220" t="s">
        <v>16</v>
      </c>
    </row>
    <row r="221" spans="1:11" x14ac:dyDescent="0.3">
      <c r="A221">
        <v>1220</v>
      </c>
      <c r="B221" t="s">
        <v>82</v>
      </c>
      <c r="C221" t="s">
        <v>12</v>
      </c>
      <c r="D221">
        <v>27</v>
      </c>
      <c r="E221" t="s">
        <v>27</v>
      </c>
      <c r="F221" t="s">
        <v>28</v>
      </c>
      <c r="G221" s="3">
        <v>95206</v>
      </c>
      <c r="H221">
        <v>23</v>
      </c>
      <c r="I221" s="1">
        <v>44205</v>
      </c>
      <c r="J221" t="s">
        <v>42</v>
      </c>
      <c r="K221" t="s">
        <v>16</v>
      </c>
    </row>
    <row r="222" spans="1:11" x14ac:dyDescent="0.3">
      <c r="A222">
        <v>1221</v>
      </c>
      <c r="B222" t="s">
        <v>98</v>
      </c>
      <c r="C222" t="s">
        <v>18</v>
      </c>
      <c r="D222">
        <v>52</v>
      </c>
      <c r="E222" t="s">
        <v>51</v>
      </c>
      <c r="F222" t="s">
        <v>52</v>
      </c>
      <c r="G222" s="3">
        <v>52379</v>
      </c>
      <c r="H222">
        <v>27</v>
      </c>
      <c r="I222" s="1">
        <v>45047</v>
      </c>
      <c r="J222" t="s">
        <v>26</v>
      </c>
      <c r="K222" t="s">
        <v>16</v>
      </c>
    </row>
    <row r="223" spans="1:11" x14ac:dyDescent="0.3">
      <c r="A223">
        <v>1222</v>
      </c>
      <c r="B223" t="s">
        <v>97</v>
      </c>
      <c r="C223" t="s">
        <v>18</v>
      </c>
      <c r="D223">
        <v>35</v>
      </c>
      <c r="E223" t="s">
        <v>13</v>
      </c>
      <c r="F223" t="s">
        <v>14</v>
      </c>
      <c r="G223" s="3">
        <v>76987</v>
      </c>
      <c r="H223">
        <v>29</v>
      </c>
      <c r="I223" s="1">
        <v>44450</v>
      </c>
      <c r="J223" t="s">
        <v>29</v>
      </c>
      <c r="K223" t="s">
        <v>22</v>
      </c>
    </row>
    <row r="224" spans="1:11" x14ac:dyDescent="0.3">
      <c r="A224">
        <v>1223</v>
      </c>
      <c r="B224" t="s">
        <v>23</v>
      </c>
      <c r="C224" t="s">
        <v>12</v>
      </c>
      <c r="D224">
        <v>41</v>
      </c>
      <c r="E224" t="s">
        <v>45</v>
      </c>
      <c r="F224" t="s">
        <v>46</v>
      </c>
      <c r="G224" s="3">
        <v>59283</v>
      </c>
      <c r="H224">
        <v>11</v>
      </c>
      <c r="I224" s="1">
        <v>45873</v>
      </c>
      <c r="J224" t="s">
        <v>29</v>
      </c>
      <c r="K224" t="s">
        <v>22</v>
      </c>
    </row>
    <row r="225" spans="1:11" x14ac:dyDescent="0.3">
      <c r="A225">
        <v>1224</v>
      </c>
      <c r="B225" t="s">
        <v>117</v>
      </c>
      <c r="C225" t="s">
        <v>12</v>
      </c>
      <c r="D225">
        <v>48</v>
      </c>
      <c r="E225" t="s">
        <v>27</v>
      </c>
      <c r="F225" t="s">
        <v>28</v>
      </c>
      <c r="G225" s="3">
        <v>30992</v>
      </c>
      <c r="H225">
        <v>18</v>
      </c>
      <c r="I225" s="1">
        <v>44535</v>
      </c>
      <c r="J225" t="s">
        <v>37</v>
      </c>
      <c r="K225" t="s">
        <v>22</v>
      </c>
    </row>
    <row r="226" spans="1:11" x14ac:dyDescent="0.3">
      <c r="A226">
        <v>1225</v>
      </c>
      <c r="B226" t="s">
        <v>56</v>
      </c>
      <c r="C226" t="s">
        <v>12</v>
      </c>
      <c r="D226">
        <v>40</v>
      </c>
      <c r="E226" t="s">
        <v>19</v>
      </c>
      <c r="F226" t="s">
        <v>20</v>
      </c>
      <c r="G226" s="3">
        <v>44976</v>
      </c>
      <c r="H226">
        <v>6</v>
      </c>
      <c r="I226" s="1">
        <v>45029</v>
      </c>
      <c r="J226" t="s">
        <v>15</v>
      </c>
      <c r="K226" t="s">
        <v>16</v>
      </c>
    </row>
    <row r="227" spans="1:11" x14ac:dyDescent="0.3">
      <c r="A227">
        <v>1226</v>
      </c>
      <c r="B227" t="s">
        <v>59</v>
      </c>
      <c r="C227" t="s">
        <v>12</v>
      </c>
      <c r="D227">
        <v>53</v>
      </c>
      <c r="E227" t="s">
        <v>45</v>
      </c>
      <c r="F227" t="s">
        <v>46</v>
      </c>
      <c r="G227" s="3">
        <v>119838</v>
      </c>
      <c r="H227">
        <v>20</v>
      </c>
      <c r="I227" s="1">
        <v>45875</v>
      </c>
      <c r="J227" t="s">
        <v>21</v>
      </c>
      <c r="K227" t="s">
        <v>22</v>
      </c>
    </row>
    <row r="228" spans="1:11" x14ac:dyDescent="0.3">
      <c r="A228">
        <v>1227</v>
      </c>
      <c r="B228" t="s">
        <v>96</v>
      </c>
      <c r="C228" t="s">
        <v>12</v>
      </c>
      <c r="D228">
        <v>33</v>
      </c>
      <c r="E228" t="s">
        <v>24</v>
      </c>
      <c r="F228" t="s">
        <v>25</v>
      </c>
      <c r="G228" s="3">
        <v>96058</v>
      </c>
      <c r="H228">
        <v>20</v>
      </c>
      <c r="I228" s="1">
        <v>43345</v>
      </c>
      <c r="J228" t="s">
        <v>29</v>
      </c>
      <c r="K228" t="s">
        <v>16</v>
      </c>
    </row>
    <row r="229" spans="1:11" x14ac:dyDescent="0.3">
      <c r="A229">
        <v>1228</v>
      </c>
      <c r="B229" t="s">
        <v>77</v>
      </c>
      <c r="C229" t="s">
        <v>12</v>
      </c>
      <c r="D229">
        <v>30</v>
      </c>
      <c r="E229" t="s">
        <v>13</v>
      </c>
      <c r="F229" t="s">
        <v>14</v>
      </c>
      <c r="G229" s="3">
        <v>107667</v>
      </c>
      <c r="H229">
        <v>7</v>
      </c>
      <c r="I229" s="1">
        <v>43804</v>
      </c>
      <c r="J229" t="s">
        <v>37</v>
      </c>
      <c r="K229" t="s">
        <v>16</v>
      </c>
    </row>
    <row r="230" spans="1:11" x14ac:dyDescent="0.3">
      <c r="A230">
        <v>1229</v>
      </c>
      <c r="B230" t="s">
        <v>54</v>
      </c>
      <c r="C230" t="s">
        <v>18</v>
      </c>
      <c r="D230">
        <v>52</v>
      </c>
      <c r="E230" t="s">
        <v>19</v>
      </c>
      <c r="F230" t="s">
        <v>20</v>
      </c>
      <c r="G230" s="3">
        <v>111413</v>
      </c>
      <c r="H230">
        <v>15</v>
      </c>
      <c r="I230" s="1">
        <v>43118</v>
      </c>
      <c r="J230" t="s">
        <v>15</v>
      </c>
      <c r="K230" t="s">
        <v>22</v>
      </c>
    </row>
    <row r="231" spans="1:11" x14ac:dyDescent="0.3">
      <c r="A231">
        <v>1230</v>
      </c>
      <c r="B231" t="s">
        <v>81</v>
      </c>
      <c r="C231" t="s">
        <v>12</v>
      </c>
      <c r="D231">
        <v>40</v>
      </c>
      <c r="E231" t="s">
        <v>51</v>
      </c>
      <c r="F231" t="s">
        <v>52</v>
      </c>
      <c r="G231" s="3">
        <v>27246</v>
      </c>
      <c r="H231">
        <v>16</v>
      </c>
      <c r="I231" s="1">
        <v>45355</v>
      </c>
      <c r="J231" t="s">
        <v>37</v>
      </c>
      <c r="K231" t="s">
        <v>16</v>
      </c>
    </row>
    <row r="232" spans="1:11" x14ac:dyDescent="0.3">
      <c r="A232">
        <v>1231</v>
      </c>
      <c r="B232" t="s">
        <v>98</v>
      </c>
      <c r="C232" t="s">
        <v>12</v>
      </c>
      <c r="D232">
        <v>44</v>
      </c>
      <c r="E232" t="s">
        <v>24</v>
      </c>
      <c r="F232" t="s">
        <v>25</v>
      </c>
      <c r="G232" s="3">
        <v>60038</v>
      </c>
      <c r="H232">
        <v>25</v>
      </c>
      <c r="I232" s="1">
        <v>45334</v>
      </c>
      <c r="J232" t="s">
        <v>42</v>
      </c>
      <c r="K232" t="s">
        <v>22</v>
      </c>
    </row>
    <row r="233" spans="1:11" x14ac:dyDescent="0.3">
      <c r="A233">
        <v>1232</v>
      </c>
      <c r="B233" t="s">
        <v>108</v>
      </c>
      <c r="C233" t="s">
        <v>12</v>
      </c>
      <c r="D233">
        <v>27</v>
      </c>
      <c r="E233" t="s">
        <v>19</v>
      </c>
      <c r="F233" t="s">
        <v>20</v>
      </c>
      <c r="G233" s="3">
        <v>110686</v>
      </c>
      <c r="H233">
        <v>27</v>
      </c>
      <c r="I233" s="1">
        <v>43144</v>
      </c>
      <c r="J233" t="s">
        <v>42</v>
      </c>
      <c r="K233" t="s">
        <v>22</v>
      </c>
    </row>
    <row r="234" spans="1:11" x14ac:dyDescent="0.3">
      <c r="A234">
        <v>1233</v>
      </c>
      <c r="B234" t="s">
        <v>85</v>
      </c>
      <c r="C234" t="s">
        <v>18</v>
      </c>
      <c r="D234">
        <v>32</v>
      </c>
      <c r="E234" t="s">
        <v>19</v>
      </c>
      <c r="F234" t="s">
        <v>20</v>
      </c>
      <c r="G234" s="3">
        <v>35837</v>
      </c>
      <c r="H234">
        <v>15</v>
      </c>
      <c r="I234" s="1">
        <v>45622</v>
      </c>
      <c r="J234" t="s">
        <v>31</v>
      </c>
      <c r="K234" t="s">
        <v>16</v>
      </c>
    </row>
    <row r="235" spans="1:11" x14ac:dyDescent="0.3">
      <c r="A235">
        <v>1234</v>
      </c>
      <c r="B235" t="s">
        <v>90</v>
      </c>
      <c r="C235" t="s">
        <v>18</v>
      </c>
      <c r="D235">
        <v>52</v>
      </c>
      <c r="E235" t="s">
        <v>19</v>
      </c>
      <c r="F235" t="s">
        <v>20</v>
      </c>
      <c r="G235" s="3">
        <v>60532</v>
      </c>
      <c r="H235">
        <v>1</v>
      </c>
      <c r="I235" s="1">
        <v>43778</v>
      </c>
      <c r="J235" t="s">
        <v>15</v>
      </c>
      <c r="K235" t="s">
        <v>16</v>
      </c>
    </row>
    <row r="236" spans="1:11" x14ac:dyDescent="0.3">
      <c r="A236">
        <v>1235</v>
      </c>
      <c r="B236" t="s">
        <v>34</v>
      </c>
      <c r="C236" t="s">
        <v>18</v>
      </c>
      <c r="D236">
        <v>31</v>
      </c>
      <c r="E236" t="s">
        <v>24</v>
      </c>
      <c r="F236" t="s">
        <v>25</v>
      </c>
      <c r="G236" s="3">
        <v>118416</v>
      </c>
      <c r="H236">
        <v>26</v>
      </c>
      <c r="I236" s="1">
        <v>45332</v>
      </c>
      <c r="J236" t="s">
        <v>26</v>
      </c>
      <c r="K236" t="s">
        <v>16</v>
      </c>
    </row>
    <row r="237" spans="1:11" x14ac:dyDescent="0.3">
      <c r="A237">
        <v>1236</v>
      </c>
      <c r="B237" t="s">
        <v>86</v>
      </c>
      <c r="C237" t="s">
        <v>12</v>
      </c>
      <c r="D237">
        <v>46</v>
      </c>
      <c r="E237" t="s">
        <v>19</v>
      </c>
      <c r="F237" t="s">
        <v>20</v>
      </c>
      <c r="G237" s="3">
        <v>43343</v>
      </c>
      <c r="H237">
        <v>25</v>
      </c>
      <c r="I237" s="1">
        <v>43732</v>
      </c>
      <c r="J237" t="s">
        <v>31</v>
      </c>
      <c r="K237" t="s">
        <v>16</v>
      </c>
    </row>
    <row r="238" spans="1:11" x14ac:dyDescent="0.3">
      <c r="A238">
        <v>1237</v>
      </c>
      <c r="B238" t="s">
        <v>72</v>
      </c>
      <c r="C238" t="s">
        <v>18</v>
      </c>
      <c r="D238">
        <v>43</v>
      </c>
      <c r="E238" t="s">
        <v>51</v>
      </c>
      <c r="F238" t="s">
        <v>52</v>
      </c>
      <c r="G238" s="3">
        <v>104320</v>
      </c>
      <c r="H238">
        <v>24</v>
      </c>
      <c r="I238" s="1">
        <v>45444</v>
      </c>
      <c r="J238" t="s">
        <v>21</v>
      </c>
      <c r="K238" t="s">
        <v>22</v>
      </c>
    </row>
    <row r="239" spans="1:11" x14ac:dyDescent="0.3">
      <c r="A239">
        <v>1238</v>
      </c>
      <c r="B239" t="s">
        <v>48</v>
      </c>
      <c r="C239" t="s">
        <v>12</v>
      </c>
      <c r="D239">
        <v>46</v>
      </c>
      <c r="E239" t="s">
        <v>45</v>
      </c>
      <c r="F239" t="s">
        <v>46</v>
      </c>
      <c r="G239" s="3">
        <v>81603</v>
      </c>
      <c r="H239">
        <v>5</v>
      </c>
      <c r="I239" s="1">
        <v>45347</v>
      </c>
      <c r="J239" t="s">
        <v>15</v>
      </c>
      <c r="K239" t="s">
        <v>22</v>
      </c>
    </row>
    <row r="240" spans="1:11" x14ac:dyDescent="0.3">
      <c r="A240">
        <v>1239</v>
      </c>
      <c r="B240" t="s">
        <v>41</v>
      </c>
      <c r="C240" t="s">
        <v>12</v>
      </c>
      <c r="D240">
        <v>31</v>
      </c>
      <c r="E240" t="s">
        <v>24</v>
      </c>
      <c r="F240" t="s">
        <v>25</v>
      </c>
      <c r="G240" s="3">
        <v>74807</v>
      </c>
      <c r="H240">
        <v>22</v>
      </c>
      <c r="I240" s="1">
        <v>44178</v>
      </c>
      <c r="J240" t="s">
        <v>31</v>
      </c>
      <c r="K240" t="s">
        <v>22</v>
      </c>
    </row>
    <row r="241" spans="1:11" x14ac:dyDescent="0.3">
      <c r="A241">
        <v>1240</v>
      </c>
      <c r="B241" t="s">
        <v>41</v>
      </c>
      <c r="C241" t="s">
        <v>12</v>
      </c>
      <c r="D241">
        <v>50</v>
      </c>
      <c r="E241" t="s">
        <v>51</v>
      </c>
      <c r="F241" t="s">
        <v>52</v>
      </c>
      <c r="G241" s="3">
        <v>72175</v>
      </c>
      <c r="H241">
        <v>24</v>
      </c>
      <c r="I241" s="1">
        <v>44597</v>
      </c>
      <c r="J241" t="s">
        <v>37</v>
      </c>
      <c r="K241" t="s">
        <v>16</v>
      </c>
    </row>
    <row r="242" spans="1:11" x14ac:dyDescent="0.3">
      <c r="A242">
        <v>1241</v>
      </c>
      <c r="B242" t="s">
        <v>23</v>
      </c>
      <c r="C242" t="s">
        <v>12</v>
      </c>
      <c r="D242">
        <v>28</v>
      </c>
      <c r="E242" t="s">
        <v>45</v>
      </c>
      <c r="F242" t="s">
        <v>46</v>
      </c>
      <c r="G242" s="3">
        <v>28442</v>
      </c>
      <c r="H242">
        <v>2</v>
      </c>
      <c r="I242" s="1">
        <v>45172</v>
      </c>
      <c r="J242" t="s">
        <v>15</v>
      </c>
      <c r="K242" t="s">
        <v>22</v>
      </c>
    </row>
    <row r="243" spans="1:11" x14ac:dyDescent="0.3">
      <c r="A243">
        <v>1242</v>
      </c>
      <c r="B243" t="s">
        <v>118</v>
      </c>
      <c r="C243" t="s">
        <v>12</v>
      </c>
      <c r="D243">
        <v>46</v>
      </c>
      <c r="E243" t="s">
        <v>45</v>
      </c>
      <c r="F243" t="s">
        <v>46</v>
      </c>
      <c r="G243" s="3">
        <v>36101</v>
      </c>
      <c r="H243">
        <v>23</v>
      </c>
      <c r="I243" s="1">
        <v>44486</v>
      </c>
      <c r="J243" t="s">
        <v>26</v>
      </c>
      <c r="K243" t="s">
        <v>22</v>
      </c>
    </row>
    <row r="244" spans="1:11" x14ac:dyDescent="0.3">
      <c r="A244">
        <v>1243</v>
      </c>
      <c r="B244" t="s">
        <v>111</v>
      </c>
      <c r="C244" t="s">
        <v>12</v>
      </c>
      <c r="D244">
        <v>39</v>
      </c>
      <c r="E244" t="s">
        <v>24</v>
      </c>
      <c r="F244" t="s">
        <v>25</v>
      </c>
      <c r="G244" s="3">
        <v>89634</v>
      </c>
      <c r="H244">
        <v>4</v>
      </c>
      <c r="I244" s="1">
        <v>43538</v>
      </c>
      <c r="J244" t="s">
        <v>31</v>
      </c>
      <c r="K244" t="s">
        <v>22</v>
      </c>
    </row>
    <row r="245" spans="1:11" x14ac:dyDescent="0.3">
      <c r="A245">
        <v>1244</v>
      </c>
      <c r="B245" t="s">
        <v>85</v>
      </c>
      <c r="C245" t="s">
        <v>12</v>
      </c>
      <c r="D245">
        <v>38</v>
      </c>
      <c r="E245" t="s">
        <v>27</v>
      </c>
      <c r="F245" t="s">
        <v>28</v>
      </c>
      <c r="G245" s="3">
        <v>57321</v>
      </c>
      <c r="H245">
        <v>23</v>
      </c>
      <c r="I245" s="1">
        <v>45950</v>
      </c>
      <c r="J245" t="s">
        <v>26</v>
      </c>
      <c r="K245" t="s">
        <v>22</v>
      </c>
    </row>
    <row r="246" spans="1:11" x14ac:dyDescent="0.3">
      <c r="A246">
        <v>1245</v>
      </c>
      <c r="B246" t="s">
        <v>111</v>
      </c>
      <c r="C246" t="s">
        <v>18</v>
      </c>
      <c r="D246">
        <v>47</v>
      </c>
      <c r="E246" t="s">
        <v>51</v>
      </c>
      <c r="F246" t="s">
        <v>52</v>
      </c>
      <c r="G246" s="3">
        <v>68544</v>
      </c>
      <c r="H246">
        <v>26</v>
      </c>
      <c r="I246" s="1">
        <v>45458</v>
      </c>
      <c r="J246" t="s">
        <v>31</v>
      </c>
      <c r="K246" t="s">
        <v>22</v>
      </c>
    </row>
    <row r="247" spans="1:11" x14ac:dyDescent="0.3">
      <c r="A247">
        <v>1246</v>
      </c>
      <c r="B247" t="s">
        <v>60</v>
      </c>
      <c r="C247" t="s">
        <v>12</v>
      </c>
      <c r="D247">
        <v>42</v>
      </c>
      <c r="E247" t="s">
        <v>13</v>
      </c>
      <c r="F247" t="s">
        <v>14</v>
      </c>
      <c r="G247" s="3">
        <v>104064</v>
      </c>
      <c r="H247">
        <v>30</v>
      </c>
      <c r="I247" s="1">
        <v>44419</v>
      </c>
      <c r="J247" t="s">
        <v>26</v>
      </c>
      <c r="K247" t="s">
        <v>22</v>
      </c>
    </row>
    <row r="248" spans="1:11" x14ac:dyDescent="0.3">
      <c r="A248">
        <v>1247</v>
      </c>
      <c r="B248" t="s">
        <v>57</v>
      </c>
      <c r="C248" t="s">
        <v>18</v>
      </c>
      <c r="D248">
        <v>42</v>
      </c>
      <c r="E248" t="s">
        <v>27</v>
      </c>
      <c r="F248" t="s">
        <v>28</v>
      </c>
      <c r="G248" s="3">
        <v>74290</v>
      </c>
      <c r="H248">
        <v>8</v>
      </c>
      <c r="I248" s="1">
        <v>45447</v>
      </c>
      <c r="J248" t="s">
        <v>15</v>
      </c>
      <c r="K248" t="s">
        <v>16</v>
      </c>
    </row>
    <row r="249" spans="1:11" x14ac:dyDescent="0.3">
      <c r="A249">
        <v>1248</v>
      </c>
      <c r="B249" t="s">
        <v>62</v>
      </c>
      <c r="C249" t="s">
        <v>18</v>
      </c>
      <c r="D249">
        <v>51</v>
      </c>
      <c r="E249" t="s">
        <v>19</v>
      </c>
      <c r="F249" t="s">
        <v>20</v>
      </c>
      <c r="G249" s="3">
        <v>117847</v>
      </c>
      <c r="H249">
        <v>6</v>
      </c>
      <c r="I249" s="1">
        <v>45804</v>
      </c>
      <c r="J249" t="s">
        <v>21</v>
      </c>
      <c r="K249" t="s">
        <v>16</v>
      </c>
    </row>
    <row r="250" spans="1:11" x14ac:dyDescent="0.3">
      <c r="A250">
        <v>1249</v>
      </c>
      <c r="B250" t="s">
        <v>48</v>
      </c>
      <c r="C250" t="s">
        <v>12</v>
      </c>
      <c r="D250">
        <v>37</v>
      </c>
      <c r="E250" t="s">
        <v>45</v>
      </c>
      <c r="F250" t="s">
        <v>46</v>
      </c>
      <c r="G250" s="3">
        <v>58119</v>
      </c>
      <c r="H250">
        <v>21</v>
      </c>
      <c r="I250" s="1">
        <v>44179</v>
      </c>
      <c r="J250" t="s">
        <v>29</v>
      </c>
      <c r="K250" t="s">
        <v>22</v>
      </c>
    </row>
    <row r="251" spans="1:11" x14ac:dyDescent="0.3">
      <c r="A251">
        <v>1250</v>
      </c>
      <c r="B251" t="s">
        <v>23</v>
      </c>
      <c r="C251" t="s">
        <v>12</v>
      </c>
      <c r="D251">
        <v>47</v>
      </c>
      <c r="E251" t="s">
        <v>51</v>
      </c>
      <c r="F251" t="s">
        <v>52</v>
      </c>
      <c r="G251" s="3">
        <v>95040</v>
      </c>
      <c r="H251">
        <v>16</v>
      </c>
      <c r="I251" s="1">
        <v>45537</v>
      </c>
      <c r="J251" t="s">
        <v>29</v>
      </c>
      <c r="K251" t="s">
        <v>22</v>
      </c>
    </row>
    <row r="252" spans="1:11" x14ac:dyDescent="0.3">
      <c r="A252">
        <v>1251</v>
      </c>
      <c r="B252" t="s">
        <v>119</v>
      </c>
      <c r="C252" t="s">
        <v>18</v>
      </c>
      <c r="D252">
        <v>28</v>
      </c>
      <c r="E252" t="s">
        <v>13</v>
      </c>
      <c r="F252" t="s">
        <v>14</v>
      </c>
      <c r="G252" s="3">
        <v>57536</v>
      </c>
      <c r="H252">
        <v>21</v>
      </c>
      <c r="I252" s="1">
        <v>45006</v>
      </c>
      <c r="J252" t="s">
        <v>15</v>
      </c>
      <c r="K252" t="s">
        <v>16</v>
      </c>
    </row>
    <row r="253" spans="1:11" x14ac:dyDescent="0.3">
      <c r="A253">
        <v>1252</v>
      </c>
      <c r="B253" t="s">
        <v>50</v>
      </c>
      <c r="C253" t="s">
        <v>12</v>
      </c>
      <c r="D253">
        <v>28</v>
      </c>
      <c r="E253" t="s">
        <v>19</v>
      </c>
      <c r="F253" t="s">
        <v>20</v>
      </c>
      <c r="G253" s="3">
        <v>26382</v>
      </c>
      <c r="H253">
        <v>3</v>
      </c>
      <c r="I253" s="1">
        <v>44668</v>
      </c>
      <c r="J253" t="s">
        <v>21</v>
      </c>
      <c r="K253" t="s">
        <v>16</v>
      </c>
    </row>
    <row r="254" spans="1:11" x14ac:dyDescent="0.3">
      <c r="A254">
        <v>1253</v>
      </c>
      <c r="B254" t="s">
        <v>120</v>
      </c>
      <c r="C254" t="s">
        <v>12</v>
      </c>
      <c r="D254">
        <v>54</v>
      </c>
      <c r="E254" t="s">
        <v>45</v>
      </c>
      <c r="F254" t="s">
        <v>46</v>
      </c>
      <c r="G254" s="3">
        <v>44758</v>
      </c>
      <c r="H254">
        <v>11</v>
      </c>
      <c r="I254" s="1">
        <v>43316</v>
      </c>
      <c r="J254" t="s">
        <v>31</v>
      </c>
      <c r="K254" t="s">
        <v>22</v>
      </c>
    </row>
    <row r="255" spans="1:11" x14ac:dyDescent="0.3">
      <c r="A255">
        <v>1254</v>
      </c>
      <c r="B255" t="s">
        <v>88</v>
      </c>
      <c r="C255" t="s">
        <v>12</v>
      </c>
      <c r="D255">
        <v>41</v>
      </c>
      <c r="E255" t="s">
        <v>51</v>
      </c>
      <c r="F255" t="s">
        <v>52</v>
      </c>
      <c r="G255" s="3">
        <v>69966</v>
      </c>
      <c r="H255">
        <v>14</v>
      </c>
      <c r="I255" s="1">
        <v>44455</v>
      </c>
      <c r="J255" t="s">
        <v>31</v>
      </c>
      <c r="K255" t="s">
        <v>22</v>
      </c>
    </row>
    <row r="256" spans="1:11" x14ac:dyDescent="0.3">
      <c r="A256">
        <v>1255</v>
      </c>
      <c r="B256" t="s">
        <v>70</v>
      </c>
      <c r="C256" t="s">
        <v>12</v>
      </c>
      <c r="D256">
        <v>26</v>
      </c>
      <c r="E256" t="s">
        <v>51</v>
      </c>
      <c r="F256" t="s">
        <v>52</v>
      </c>
      <c r="G256" s="3">
        <v>64356</v>
      </c>
      <c r="H256">
        <v>1</v>
      </c>
      <c r="I256" s="1">
        <v>43493</v>
      </c>
      <c r="J256" t="s">
        <v>31</v>
      </c>
      <c r="K256" t="s">
        <v>16</v>
      </c>
    </row>
    <row r="257" spans="1:11" x14ac:dyDescent="0.3">
      <c r="A257">
        <v>1256</v>
      </c>
      <c r="B257" t="s">
        <v>115</v>
      </c>
      <c r="C257" t="s">
        <v>18</v>
      </c>
      <c r="D257">
        <v>32</v>
      </c>
      <c r="E257" t="s">
        <v>13</v>
      </c>
      <c r="F257" t="s">
        <v>14</v>
      </c>
      <c r="G257" s="3">
        <v>68383</v>
      </c>
      <c r="H257">
        <v>17</v>
      </c>
      <c r="I257" s="1">
        <v>45512</v>
      </c>
      <c r="J257" t="s">
        <v>29</v>
      </c>
      <c r="K257" t="s">
        <v>22</v>
      </c>
    </row>
    <row r="258" spans="1:11" x14ac:dyDescent="0.3">
      <c r="A258">
        <v>1257</v>
      </c>
      <c r="B258" t="s">
        <v>115</v>
      </c>
      <c r="C258" t="s">
        <v>12</v>
      </c>
      <c r="D258">
        <v>47</v>
      </c>
      <c r="E258" t="s">
        <v>13</v>
      </c>
      <c r="F258" t="s">
        <v>14</v>
      </c>
      <c r="G258" s="3">
        <v>28826</v>
      </c>
      <c r="H258">
        <v>23</v>
      </c>
      <c r="I258" s="1">
        <v>44427</v>
      </c>
      <c r="J258" t="s">
        <v>42</v>
      </c>
      <c r="K258" t="s">
        <v>22</v>
      </c>
    </row>
    <row r="259" spans="1:11" x14ac:dyDescent="0.3">
      <c r="A259">
        <v>1258</v>
      </c>
      <c r="B259" t="s">
        <v>99</v>
      </c>
      <c r="C259" t="s">
        <v>12</v>
      </c>
      <c r="D259">
        <v>26</v>
      </c>
      <c r="E259" t="s">
        <v>51</v>
      </c>
      <c r="F259" t="s">
        <v>52</v>
      </c>
      <c r="G259" s="3">
        <v>100674</v>
      </c>
      <c r="H259">
        <v>3</v>
      </c>
      <c r="I259" s="1">
        <v>43993</v>
      </c>
      <c r="J259" t="s">
        <v>26</v>
      </c>
      <c r="K259" t="s">
        <v>22</v>
      </c>
    </row>
    <row r="260" spans="1:11" x14ac:dyDescent="0.3">
      <c r="A260">
        <v>1259</v>
      </c>
      <c r="B260" t="s">
        <v>121</v>
      </c>
      <c r="C260" t="s">
        <v>12</v>
      </c>
      <c r="D260">
        <v>46</v>
      </c>
      <c r="E260" t="s">
        <v>51</v>
      </c>
      <c r="F260" t="s">
        <v>52</v>
      </c>
      <c r="G260" s="3">
        <v>105125</v>
      </c>
      <c r="H260">
        <v>12</v>
      </c>
      <c r="I260" s="1">
        <v>43628</v>
      </c>
      <c r="J260" t="s">
        <v>29</v>
      </c>
      <c r="K260" t="s">
        <v>22</v>
      </c>
    </row>
    <row r="261" spans="1:11" x14ac:dyDescent="0.3">
      <c r="A261">
        <v>1260</v>
      </c>
      <c r="B261" t="s">
        <v>103</v>
      </c>
      <c r="C261" t="s">
        <v>18</v>
      </c>
      <c r="D261">
        <v>30</v>
      </c>
      <c r="E261" t="s">
        <v>19</v>
      </c>
      <c r="F261" t="s">
        <v>20</v>
      </c>
      <c r="G261" s="3">
        <v>66049</v>
      </c>
      <c r="H261">
        <v>3</v>
      </c>
      <c r="I261" s="1">
        <v>44320</v>
      </c>
      <c r="J261" t="s">
        <v>26</v>
      </c>
      <c r="K261" t="s">
        <v>22</v>
      </c>
    </row>
    <row r="262" spans="1:11" x14ac:dyDescent="0.3">
      <c r="A262">
        <v>1261</v>
      </c>
      <c r="B262" t="s">
        <v>96</v>
      </c>
      <c r="C262" t="s">
        <v>12</v>
      </c>
      <c r="D262">
        <v>48</v>
      </c>
      <c r="E262" t="s">
        <v>13</v>
      </c>
      <c r="F262" t="s">
        <v>14</v>
      </c>
      <c r="G262" s="3">
        <v>103174</v>
      </c>
      <c r="H262">
        <v>4</v>
      </c>
      <c r="I262" s="1">
        <v>45479</v>
      </c>
      <c r="J262" t="s">
        <v>42</v>
      </c>
      <c r="K262" t="s">
        <v>16</v>
      </c>
    </row>
    <row r="263" spans="1:11" x14ac:dyDescent="0.3">
      <c r="A263">
        <v>1262</v>
      </c>
      <c r="B263" t="s">
        <v>38</v>
      </c>
      <c r="C263" t="s">
        <v>12</v>
      </c>
      <c r="D263">
        <v>30</v>
      </c>
      <c r="E263" t="s">
        <v>19</v>
      </c>
      <c r="F263" t="s">
        <v>20</v>
      </c>
      <c r="G263" s="3">
        <v>49523</v>
      </c>
      <c r="H263">
        <v>10</v>
      </c>
      <c r="I263" s="1">
        <v>45932</v>
      </c>
      <c r="J263" t="s">
        <v>29</v>
      </c>
      <c r="K263" t="s">
        <v>22</v>
      </c>
    </row>
    <row r="264" spans="1:11" x14ac:dyDescent="0.3">
      <c r="A264">
        <v>1263</v>
      </c>
      <c r="B264" t="s">
        <v>48</v>
      </c>
      <c r="C264" t="s">
        <v>18</v>
      </c>
      <c r="D264">
        <v>46</v>
      </c>
      <c r="E264" t="s">
        <v>51</v>
      </c>
      <c r="F264" t="s">
        <v>52</v>
      </c>
      <c r="G264" s="3">
        <v>98607</v>
      </c>
      <c r="H264">
        <v>16</v>
      </c>
      <c r="I264" s="1">
        <v>45860</v>
      </c>
      <c r="J264" t="s">
        <v>42</v>
      </c>
      <c r="K264" t="s">
        <v>22</v>
      </c>
    </row>
    <row r="265" spans="1:11" x14ac:dyDescent="0.3">
      <c r="A265">
        <v>1264</v>
      </c>
      <c r="B265" t="s">
        <v>70</v>
      </c>
      <c r="C265" t="s">
        <v>18</v>
      </c>
      <c r="D265">
        <v>27</v>
      </c>
      <c r="E265" t="s">
        <v>13</v>
      </c>
      <c r="F265" t="s">
        <v>14</v>
      </c>
      <c r="G265" s="3">
        <v>99107</v>
      </c>
      <c r="H265">
        <v>0</v>
      </c>
      <c r="I265" s="1">
        <v>44318</v>
      </c>
      <c r="J265" t="s">
        <v>31</v>
      </c>
      <c r="K265" t="s">
        <v>16</v>
      </c>
    </row>
    <row r="266" spans="1:11" x14ac:dyDescent="0.3">
      <c r="A266">
        <v>1265</v>
      </c>
      <c r="B266" t="s">
        <v>122</v>
      </c>
      <c r="C266" t="s">
        <v>12</v>
      </c>
      <c r="D266">
        <v>53</v>
      </c>
      <c r="E266" t="s">
        <v>19</v>
      </c>
      <c r="F266" t="s">
        <v>20</v>
      </c>
      <c r="G266" s="3">
        <v>97053</v>
      </c>
      <c r="H266">
        <v>16</v>
      </c>
      <c r="I266" s="1">
        <v>43742</v>
      </c>
      <c r="J266" t="s">
        <v>31</v>
      </c>
      <c r="K266" t="s">
        <v>22</v>
      </c>
    </row>
    <row r="267" spans="1:11" x14ac:dyDescent="0.3">
      <c r="A267">
        <v>1266</v>
      </c>
      <c r="B267" t="s">
        <v>113</v>
      </c>
      <c r="C267" t="s">
        <v>18</v>
      </c>
      <c r="D267">
        <v>49</v>
      </c>
      <c r="E267" t="s">
        <v>19</v>
      </c>
      <c r="F267" t="s">
        <v>20</v>
      </c>
      <c r="G267" s="3">
        <v>38423</v>
      </c>
      <c r="H267">
        <v>23</v>
      </c>
      <c r="I267" s="1">
        <v>44344</v>
      </c>
      <c r="J267" t="s">
        <v>37</v>
      </c>
      <c r="K267" t="s">
        <v>22</v>
      </c>
    </row>
    <row r="268" spans="1:11" x14ac:dyDescent="0.3">
      <c r="A268">
        <v>1267</v>
      </c>
      <c r="B268" t="s">
        <v>58</v>
      </c>
      <c r="C268" t="s">
        <v>12</v>
      </c>
      <c r="D268">
        <v>29</v>
      </c>
      <c r="E268" t="s">
        <v>27</v>
      </c>
      <c r="F268" t="s">
        <v>28</v>
      </c>
      <c r="G268" s="3">
        <v>56056</v>
      </c>
      <c r="H268">
        <v>6</v>
      </c>
      <c r="I268" s="1">
        <v>45280</v>
      </c>
      <c r="J268" t="s">
        <v>21</v>
      </c>
      <c r="K268" t="s">
        <v>22</v>
      </c>
    </row>
    <row r="269" spans="1:11" x14ac:dyDescent="0.3">
      <c r="A269">
        <v>1268</v>
      </c>
      <c r="B269" t="s">
        <v>60</v>
      </c>
      <c r="C269" t="s">
        <v>18</v>
      </c>
      <c r="D269">
        <v>35</v>
      </c>
      <c r="E269" t="s">
        <v>24</v>
      </c>
      <c r="F269" t="s">
        <v>25</v>
      </c>
      <c r="G269" s="3">
        <v>32780</v>
      </c>
      <c r="H269">
        <v>18</v>
      </c>
      <c r="I269" s="1">
        <v>45178</v>
      </c>
      <c r="J269" t="s">
        <v>15</v>
      </c>
      <c r="K269" t="s">
        <v>16</v>
      </c>
    </row>
    <row r="270" spans="1:11" x14ac:dyDescent="0.3">
      <c r="A270">
        <v>1269</v>
      </c>
      <c r="B270" t="s">
        <v>94</v>
      </c>
      <c r="C270" t="s">
        <v>12</v>
      </c>
      <c r="D270">
        <v>54</v>
      </c>
      <c r="E270" t="s">
        <v>27</v>
      </c>
      <c r="F270" t="s">
        <v>28</v>
      </c>
      <c r="G270" s="3">
        <v>114037</v>
      </c>
      <c r="H270">
        <v>26</v>
      </c>
      <c r="I270" s="1">
        <v>43549</v>
      </c>
      <c r="J270" t="s">
        <v>29</v>
      </c>
      <c r="K270" t="s">
        <v>22</v>
      </c>
    </row>
    <row r="271" spans="1:11" x14ac:dyDescent="0.3">
      <c r="A271">
        <v>1270</v>
      </c>
      <c r="B271" t="s">
        <v>73</v>
      </c>
      <c r="C271" t="s">
        <v>18</v>
      </c>
      <c r="D271">
        <v>37</v>
      </c>
      <c r="E271" t="s">
        <v>51</v>
      </c>
      <c r="F271" t="s">
        <v>52</v>
      </c>
      <c r="G271" s="3">
        <v>44168</v>
      </c>
      <c r="H271">
        <v>22</v>
      </c>
      <c r="I271" s="1">
        <v>45041</v>
      </c>
      <c r="J271" t="s">
        <v>29</v>
      </c>
      <c r="K271" t="s">
        <v>22</v>
      </c>
    </row>
    <row r="272" spans="1:11" x14ac:dyDescent="0.3">
      <c r="A272">
        <v>1271</v>
      </c>
      <c r="B272" t="s">
        <v>96</v>
      </c>
      <c r="C272" t="s">
        <v>12</v>
      </c>
      <c r="D272">
        <v>48</v>
      </c>
      <c r="E272" t="s">
        <v>45</v>
      </c>
      <c r="F272" t="s">
        <v>46</v>
      </c>
      <c r="G272" s="3">
        <v>74174</v>
      </c>
      <c r="H272">
        <v>14</v>
      </c>
      <c r="I272" s="1">
        <v>43795</v>
      </c>
      <c r="J272" t="s">
        <v>29</v>
      </c>
      <c r="K272" t="s">
        <v>16</v>
      </c>
    </row>
    <row r="273" spans="1:11" x14ac:dyDescent="0.3">
      <c r="A273">
        <v>1272</v>
      </c>
      <c r="B273" t="s">
        <v>78</v>
      </c>
      <c r="C273" t="s">
        <v>12</v>
      </c>
      <c r="D273">
        <v>51</v>
      </c>
      <c r="E273" t="s">
        <v>45</v>
      </c>
      <c r="F273" t="s">
        <v>46</v>
      </c>
      <c r="G273" s="3">
        <v>88968</v>
      </c>
      <c r="H273">
        <v>10</v>
      </c>
      <c r="I273" s="1">
        <v>43437</v>
      </c>
      <c r="J273" t="s">
        <v>21</v>
      </c>
      <c r="K273" t="s">
        <v>22</v>
      </c>
    </row>
    <row r="274" spans="1:11" x14ac:dyDescent="0.3">
      <c r="A274">
        <v>1273</v>
      </c>
      <c r="B274" t="s">
        <v>58</v>
      </c>
      <c r="C274" t="s">
        <v>12</v>
      </c>
      <c r="D274">
        <v>35</v>
      </c>
      <c r="E274" t="s">
        <v>13</v>
      </c>
      <c r="F274" t="s">
        <v>14</v>
      </c>
      <c r="G274" s="3">
        <v>81314</v>
      </c>
      <c r="H274">
        <v>26</v>
      </c>
      <c r="I274" s="1">
        <v>44417</v>
      </c>
      <c r="J274" t="s">
        <v>31</v>
      </c>
      <c r="K274" t="s">
        <v>22</v>
      </c>
    </row>
    <row r="275" spans="1:11" x14ac:dyDescent="0.3">
      <c r="A275">
        <v>1274</v>
      </c>
      <c r="B275" t="s">
        <v>119</v>
      </c>
      <c r="C275" t="s">
        <v>18</v>
      </c>
      <c r="D275">
        <v>53</v>
      </c>
      <c r="E275" t="s">
        <v>27</v>
      </c>
      <c r="F275" t="s">
        <v>28</v>
      </c>
      <c r="G275" s="3">
        <v>70054</v>
      </c>
      <c r="H275">
        <v>28</v>
      </c>
      <c r="I275" s="1">
        <v>43104</v>
      </c>
      <c r="J275" t="s">
        <v>21</v>
      </c>
      <c r="K275" t="s">
        <v>22</v>
      </c>
    </row>
    <row r="276" spans="1:11" x14ac:dyDescent="0.3">
      <c r="A276">
        <v>1275</v>
      </c>
      <c r="B276" t="s">
        <v>88</v>
      </c>
      <c r="C276" t="s">
        <v>12</v>
      </c>
      <c r="D276">
        <v>51</v>
      </c>
      <c r="E276" t="s">
        <v>51</v>
      </c>
      <c r="F276" t="s">
        <v>52</v>
      </c>
      <c r="G276" s="3">
        <v>25088</v>
      </c>
      <c r="H276">
        <v>30</v>
      </c>
      <c r="I276" s="1">
        <v>45405</v>
      </c>
      <c r="J276" t="s">
        <v>26</v>
      </c>
      <c r="K276" t="s">
        <v>22</v>
      </c>
    </row>
    <row r="277" spans="1:11" x14ac:dyDescent="0.3">
      <c r="A277">
        <v>1276</v>
      </c>
      <c r="B277" t="s">
        <v>67</v>
      </c>
      <c r="C277" t="s">
        <v>12</v>
      </c>
      <c r="D277">
        <v>38</v>
      </c>
      <c r="E277" t="s">
        <v>24</v>
      </c>
      <c r="F277" t="s">
        <v>25</v>
      </c>
      <c r="G277" s="3">
        <v>35803</v>
      </c>
      <c r="H277">
        <v>11</v>
      </c>
      <c r="I277" s="1">
        <v>43843</v>
      </c>
      <c r="J277" t="s">
        <v>21</v>
      </c>
      <c r="K277" t="s">
        <v>22</v>
      </c>
    </row>
    <row r="278" spans="1:11" x14ac:dyDescent="0.3">
      <c r="A278">
        <v>1277</v>
      </c>
      <c r="B278" t="s">
        <v>107</v>
      </c>
      <c r="C278" t="s">
        <v>18</v>
      </c>
      <c r="D278">
        <v>28</v>
      </c>
      <c r="E278" t="s">
        <v>13</v>
      </c>
      <c r="F278" t="s">
        <v>14</v>
      </c>
      <c r="G278" s="3">
        <v>25142</v>
      </c>
      <c r="H278">
        <v>6</v>
      </c>
      <c r="I278" s="1">
        <v>45693</v>
      </c>
      <c r="J278" t="s">
        <v>15</v>
      </c>
      <c r="K278" t="s">
        <v>16</v>
      </c>
    </row>
    <row r="279" spans="1:11" x14ac:dyDescent="0.3">
      <c r="A279">
        <v>1278</v>
      </c>
      <c r="B279" t="s">
        <v>87</v>
      </c>
      <c r="C279" t="s">
        <v>18</v>
      </c>
      <c r="D279">
        <v>43</v>
      </c>
      <c r="E279" t="s">
        <v>19</v>
      </c>
      <c r="F279" t="s">
        <v>20</v>
      </c>
      <c r="G279" s="3">
        <v>40806</v>
      </c>
      <c r="H279">
        <v>27</v>
      </c>
      <c r="I279" s="1">
        <v>45631</v>
      </c>
      <c r="J279" t="s">
        <v>42</v>
      </c>
      <c r="K279" t="s">
        <v>16</v>
      </c>
    </row>
    <row r="280" spans="1:11" x14ac:dyDescent="0.3">
      <c r="A280">
        <v>1279</v>
      </c>
      <c r="B280" t="s">
        <v>123</v>
      </c>
      <c r="C280" t="s">
        <v>18</v>
      </c>
      <c r="D280">
        <v>28</v>
      </c>
      <c r="E280" t="s">
        <v>24</v>
      </c>
      <c r="F280" t="s">
        <v>25</v>
      </c>
      <c r="G280" s="3">
        <v>66071</v>
      </c>
      <c r="H280">
        <v>11</v>
      </c>
      <c r="I280" s="1">
        <v>44633</v>
      </c>
      <c r="J280" t="s">
        <v>29</v>
      </c>
      <c r="K280" t="s">
        <v>16</v>
      </c>
    </row>
    <row r="281" spans="1:11" x14ac:dyDescent="0.3">
      <c r="A281">
        <v>1280</v>
      </c>
      <c r="B281" t="s">
        <v>91</v>
      </c>
      <c r="C281" t="s">
        <v>18</v>
      </c>
      <c r="D281">
        <v>32</v>
      </c>
      <c r="E281" t="s">
        <v>13</v>
      </c>
      <c r="F281" t="s">
        <v>14</v>
      </c>
      <c r="G281" s="3">
        <v>82684</v>
      </c>
      <c r="H281">
        <v>11</v>
      </c>
      <c r="I281" s="1">
        <v>44524</v>
      </c>
      <c r="J281" t="s">
        <v>26</v>
      </c>
      <c r="K281" t="s">
        <v>22</v>
      </c>
    </row>
    <row r="282" spans="1:11" x14ac:dyDescent="0.3">
      <c r="A282">
        <v>1281</v>
      </c>
      <c r="B282" t="s">
        <v>79</v>
      </c>
      <c r="C282" t="s">
        <v>18</v>
      </c>
      <c r="D282">
        <v>28</v>
      </c>
      <c r="E282" t="s">
        <v>19</v>
      </c>
      <c r="F282" t="s">
        <v>20</v>
      </c>
      <c r="G282" s="3">
        <v>43351</v>
      </c>
      <c r="H282">
        <v>24</v>
      </c>
      <c r="I282" s="1">
        <v>43762</v>
      </c>
      <c r="J282" t="s">
        <v>42</v>
      </c>
      <c r="K282" t="s">
        <v>22</v>
      </c>
    </row>
    <row r="283" spans="1:11" x14ac:dyDescent="0.3">
      <c r="A283">
        <v>1282</v>
      </c>
      <c r="B283" t="s">
        <v>104</v>
      </c>
      <c r="C283" t="s">
        <v>18</v>
      </c>
      <c r="D283">
        <v>39</v>
      </c>
      <c r="E283" t="s">
        <v>45</v>
      </c>
      <c r="F283" t="s">
        <v>46</v>
      </c>
      <c r="G283" s="3">
        <v>109491</v>
      </c>
      <c r="H283">
        <v>2</v>
      </c>
      <c r="I283" s="1">
        <v>44459</v>
      </c>
      <c r="J283" t="s">
        <v>15</v>
      </c>
      <c r="K283" t="s">
        <v>22</v>
      </c>
    </row>
    <row r="284" spans="1:11" x14ac:dyDescent="0.3">
      <c r="A284">
        <v>1283</v>
      </c>
      <c r="B284" t="s">
        <v>118</v>
      </c>
      <c r="C284" t="s">
        <v>18</v>
      </c>
      <c r="D284">
        <v>55</v>
      </c>
      <c r="E284" t="s">
        <v>13</v>
      </c>
      <c r="F284" t="s">
        <v>14</v>
      </c>
      <c r="G284" s="3">
        <v>104551</v>
      </c>
      <c r="H284">
        <v>16</v>
      </c>
      <c r="I284" s="1">
        <v>44543</v>
      </c>
      <c r="J284" t="s">
        <v>31</v>
      </c>
      <c r="K284" t="s">
        <v>16</v>
      </c>
    </row>
    <row r="285" spans="1:11" x14ac:dyDescent="0.3">
      <c r="A285">
        <v>1284</v>
      </c>
      <c r="B285" t="s">
        <v>35</v>
      </c>
      <c r="C285" t="s">
        <v>18</v>
      </c>
      <c r="D285">
        <v>37</v>
      </c>
      <c r="E285" t="s">
        <v>24</v>
      </c>
      <c r="F285" t="s">
        <v>25</v>
      </c>
      <c r="G285" s="3">
        <v>90481</v>
      </c>
      <c r="H285">
        <v>20</v>
      </c>
      <c r="I285" s="1">
        <v>43709</v>
      </c>
      <c r="J285" t="s">
        <v>31</v>
      </c>
      <c r="K285" t="s">
        <v>22</v>
      </c>
    </row>
    <row r="286" spans="1:11" x14ac:dyDescent="0.3">
      <c r="A286">
        <v>1285</v>
      </c>
      <c r="B286" t="s">
        <v>86</v>
      </c>
      <c r="C286" t="s">
        <v>12</v>
      </c>
      <c r="D286">
        <v>45</v>
      </c>
      <c r="E286" t="s">
        <v>24</v>
      </c>
      <c r="F286" t="s">
        <v>25</v>
      </c>
      <c r="G286" s="3">
        <v>96612</v>
      </c>
      <c r="H286">
        <v>21</v>
      </c>
      <c r="I286" s="1">
        <v>44068</v>
      </c>
      <c r="J286" t="s">
        <v>37</v>
      </c>
      <c r="K286" t="s">
        <v>16</v>
      </c>
    </row>
    <row r="287" spans="1:11" x14ac:dyDescent="0.3">
      <c r="A287">
        <v>1286</v>
      </c>
      <c r="B287" t="s">
        <v>41</v>
      </c>
      <c r="C287" t="s">
        <v>12</v>
      </c>
      <c r="D287">
        <v>35</v>
      </c>
      <c r="E287" t="s">
        <v>19</v>
      </c>
      <c r="F287" t="s">
        <v>20</v>
      </c>
      <c r="G287" s="3">
        <v>30220</v>
      </c>
      <c r="H287">
        <v>29</v>
      </c>
      <c r="I287" s="1">
        <v>43298</v>
      </c>
      <c r="J287" t="s">
        <v>31</v>
      </c>
      <c r="K287" t="s">
        <v>22</v>
      </c>
    </row>
    <row r="288" spans="1:11" x14ac:dyDescent="0.3">
      <c r="A288">
        <v>1287</v>
      </c>
      <c r="B288" t="s">
        <v>123</v>
      </c>
      <c r="C288" t="s">
        <v>18</v>
      </c>
      <c r="D288">
        <v>39</v>
      </c>
      <c r="E288" t="s">
        <v>45</v>
      </c>
      <c r="F288" t="s">
        <v>46</v>
      </c>
      <c r="G288" s="3">
        <v>35957</v>
      </c>
      <c r="H288">
        <v>9</v>
      </c>
      <c r="I288" s="1">
        <v>43715</v>
      </c>
      <c r="J288" t="s">
        <v>29</v>
      </c>
      <c r="K288" t="s">
        <v>16</v>
      </c>
    </row>
    <row r="289" spans="1:11" x14ac:dyDescent="0.3">
      <c r="A289">
        <v>1288</v>
      </c>
      <c r="B289" t="s">
        <v>64</v>
      </c>
      <c r="C289" t="s">
        <v>18</v>
      </c>
      <c r="D289">
        <v>41</v>
      </c>
      <c r="E289" t="s">
        <v>19</v>
      </c>
      <c r="F289" t="s">
        <v>20</v>
      </c>
      <c r="G289" s="3">
        <v>116576</v>
      </c>
      <c r="H289">
        <v>13</v>
      </c>
      <c r="I289" s="1">
        <v>44204</v>
      </c>
      <c r="J289" t="s">
        <v>37</v>
      </c>
      <c r="K289" t="s">
        <v>22</v>
      </c>
    </row>
    <row r="290" spans="1:11" x14ac:dyDescent="0.3">
      <c r="A290">
        <v>1289</v>
      </c>
      <c r="B290" t="s">
        <v>23</v>
      </c>
      <c r="C290" t="s">
        <v>18</v>
      </c>
      <c r="D290">
        <v>41</v>
      </c>
      <c r="E290" t="s">
        <v>51</v>
      </c>
      <c r="F290" t="s">
        <v>52</v>
      </c>
      <c r="G290" s="3">
        <v>112304</v>
      </c>
      <c r="H290">
        <v>23</v>
      </c>
      <c r="I290" s="1">
        <v>43862</v>
      </c>
      <c r="J290" t="s">
        <v>21</v>
      </c>
      <c r="K290" t="s">
        <v>16</v>
      </c>
    </row>
    <row r="291" spans="1:11" x14ac:dyDescent="0.3">
      <c r="A291">
        <v>1290</v>
      </c>
      <c r="B291" t="s">
        <v>124</v>
      </c>
      <c r="C291" t="s">
        <v>12</v>
      </c>
      <c r="D291">
        <v>44</v>
      </c>
      <c r="E291" t="s">
        <v>13</v>
      </c>
      <c r="F291" t="s">
        <v>14</v>
      </c>
      <c r="G291" s="3">
        <v>93551</v>
      </c>
      <c r="H291">
        <v>16</v>
      </c>
      <c r="I291" s="1">
        <v>44632</v>
      </c>
      <c r="J291" t="s">
        <v>26</v>
      </c>
      <c r="K291" t="s">
        <v>22</v>
      </c>
    </row>
    <row r="292" spans="1:11" x14ac:dyDescent="0.3">
      <c r="A292">
        <v>1291</v>
      </c>
      <c r="B292" t="s">
        <v>11</v>
      </c>
      <c r="C292" t="s">
        <v>12</v>
      </c>
      <c r="D292">
        <v>49</v>
      </c>
      <c r="E292" t="s">
        <v>13</v>
      </c>
      <c r="F292" t="s">
        <v>14</v>
      </c>
      <c r="G292" s="3">
        <v>60649</v>
      </c>
      <c r="H292">
        <v>16</v>
      </c>
      <c r="I292" s="1">
        <v>43608</v>
      </c>
      <c r="J292" t="s">
        <v>15</v>
      </c>
      <c r="K292" t="s">
        <v>16</v>
      </c>
    </row>
    <row r="293" spans="1:11" x14ac:dyDescent="0.3">
      <c r="A293">
        <v>1292</v>
      </c>
      <c r="B293" t="s">
        <v>23</v>
      </c>
      <c r="C293" t="s">
        <v>12</v>
      </c>
      <c r="D293">
        <v>25</v>
      </c>
      <c r="E293" t="s">
        <v>45</v>
      </c>
      <c r="F293" t="s">
        <v>46</v>
      </c>
      <c r="G293" s="3">
        <v>90484</v>
      </c>
      <c r="H293">
        <v>27</v>
      </c>
      <c r="I293" s="1">
        <v>43988</v>
      </c>
      <c r="J293" t="s">
        <v>31</v>
      </c>
      <c r="K293" t="s">
        <v>16</v>
      </c>
    </row>
    <row r="294" spans="1:11" x14ac:dyDescent="0.3">
      <c r="A294">
        <v>1293</v>
      </c>
      <c r="B294" t="s">
        <v>88</v>
      </c>
      <c r="C294" t="s">
        <v>18</v>
      </c>
      <c r="D294">
        <v>24</v>
      </c>
      <c r="E294" t="s">
        <v>19</v>
      </c>
      <c r="F294" t="s">
        <v>20</v>
      </c>
      <c r="G294" s="3">
        <v>26610</v>
      </c>
      <c r="H294">
        <v>7</v>
      </c>
      <c r="I294" s="1">
        <v>43324</v>
      </c>
      <c r="J294" t="s">
        <v>42</v>
      </c>
      <c r="K294" t="s">
        <v>16</v>
      </c>
    </row>
    <row r="295" spans="1:11" x14ac:dyDescent="0.3">
      <c r="A295">
        <v>1294</v>
      </c>
      <c r="B295" t="s">
        <v>102</v>
      </c>
      <c r="C295" t="s">
        <v>12</v>
      </c>
      <c r="D295">
        <v>36</v>
      </c>
      <c r="E295" t="s">
        <v>24</v>
      </c>
      <c r="F295" t="s">
        <v>25</v>
      </c>
      <c r="G295" s="3">
        <v>67179</v>
      </c>
      <c r="H295">
        <v>7</v>
      </c>
      <c r="I295" s="1">
        <v>45637</v>
      </c>
      <c r="J295" t="s">
        <v>31</v>
      </c>
      <c r="K295" t="s">
        <v>16</v>
      </c>
    </row>
    <row r="296" spans="1:11" x14ac:dyDescent="0.3">
      <c r="A296">
        <v>1295</v>
      </c>
      <c r="B296" t="s">
        <v>58</v>
      </c>
      <c r="C296" t="s">
        <v>18</v>
      </c>
      <c r="D296">
        <v>33</v>
      </c>
      <c r="E296" t="s">
        <v>19</v>
      </c>
      <c r="F296" t="s">
        <v>20</v>
      </c>
      <c r="G296" s="3">
        <v>54253</v>
      </c>
      <c r="H296">
        <v>25</v>
      </c>
      <c r="I296" s="1">
        <v>43284</v>
      </c>
      <c r="J296" t="s">
        <v>42</v>
      </c>
      <c r="K296" t="s">
        <v>22</v>
      </c>
    </row>
    <row r="297" spans="1:11" x14ac:dyDescent="0.3">
      <c r="A297">
        <v>1296</v>
      </c>
      <c r="B297" t="s">
        <v>34</v>
      </c>
      <c r="C297" t="s">
        <v>12</v>
      </c>
      <c r="D297">
        <v>22</v>
      </c>
      <c r="E297" t="s">
        <v>27</v>
      </c>
      <c r="F297" t="s">
        <v>28</v>
      </c>
      <c r="G297" s="3">
        <v>73354</v>
      </c>
      <c r="H297">
        <v>6</v>
      </c>
      <c r="I297" s="1">
        <v>44860</v>
      </c>
      <c r="J297" t="s">
        <v>31</v>
      </c>
      <c r="K297" t="s">
        <v>16</v>
      </c>
    </row>
    <row r="298" spans="1:11" x14ac:dyDescent="0.3">
      <c r="A298">
        <v>1297</v>
      </c>
      <c r="B298" t="s">
        <v>125</v>
      </c>
      <c r="C298" t="s">
        <v>12</v>
      </c>
      <c r="D298">
        <v>34</v>
      </c>
      <c r="E298" t="s">
        <v>45</v>
      </c>
      <c r="F298" t="s">
        <v>46</v>
      </c>
      <c r="G298" s="3">
        <v>96638</v>
      </c>
      <c r="H298">
        <v>24</v>
      </c>
      <c r="I298" s="1">
        <v>44256</v>
      </c>
      <c r="J298" t="s">
        <v>42</v>
      </c>
      <c r="K298" t="s">
        <v>16</v>
      </c>
    </row>
    <row r="299" spans="1:11" x14ac:dyDescent="0.3">
      <c r="A299">
        <v>1298</v>
      </c>
      <c r="B299" t="s">
        <v>59</v>
      </c>
      <c r="C299" t="s">
        <v>18</v>
      </c>
      <c r="D299">
        <v>43</v>
      </c>
      <c r="E299" t="s">
        <v>24</v>
      </c>
      <c r="F299" t="s">
        <v>25</v>
      </c>
      <c r="G299" s="3">
        <v>25191</v>
      </c>
      <c r="H299">
        <v>24</v>
      </c>
      <c r="I299" s="1">
        <v>45650</v>
      </c>
      <c r="J299" t="s">
        <v>31</v>
      </c>
      <c r="K299" t="s">
        <v>16</v>
      </c>
    </row>
    <row r="300" spans="1:11" x14ac:dyDescent="0.3">
      <c r="A300">
        <v>1299</v>
      </c>
      <c r="B300" t="s">
        <v>126</v>
      </c>
      <c r="C300" t="s">
        <v>12</v>
      </c>
      <c r="D300">
        <v>53</v>
      </c>
      <c r="E300" t="s">
        <v>24</v>
      </c>
      <c r="F300" t="s">
        <v>25</v>
      </c>
      <c r="G300" s="3">
        <v>32850</v>
      </c>
      <c r="H300">
        <v>4</v>
      </c>
      <c r="I300" s="1">
        <v>44594</v>
      </c>
      <c r="J300" t="s">
        <v>26</v>
      </c>
      <c r="K300" t="s">
        <v>22</v>
      </c>
    </row>
    <row r="301" spans="1:11" x14ac:dyDescent="0.3">
      <c r="A301">
        <v>1300</v>
      </c>
      <c r="B301" t="s">
        <v>120</v>
      </c>
      <c r="C301" t="s">
        <v>18</v>
      </c>
      <c r="D301">
        <v>28</v>
      </c>
      <c r="E301" t="s">
        <v>13</v>
      </c>
      <c r="F301" t="s">
        <v>14</v>
      </c>
      <c r="G301" s="3">
        <v>91247</v>
      </c>
      <c r="H301">
        <v>4</v>
      </c>
      <c r="I301" s="1">
        <v>45341</v>
      </c>
      <c r="J301" t="s">
        <v>15</v>
      </c>
      <c r="K301" t="s">
        <v>16</v>
      </c>
    </row>
    <row r="302" spans="1:11" x14ac:dyDescent="0.3">
      <c r="A302">
        <v>1301</v>
      </c>
      <c r="B302" t="s">
        <v>105</v>
      </c>
      <c r="C302" t="s">
        <v>12</v>
      </c>
      <c r="D302">
        <v>38</v>
      </c>
      <c r="E302" t="s">
        <v>45</v>
      </c>
      <c r="F302" t="s">
        <v>46</v>
      </c>
      <c r="G302" s="3">
        <v>66288</v>
      </c>
      <c r="H302">
        <v>29</v>
      </c>
      <c r="I302" s="1">
        <v>45653</v>
      </c>
      <c r="J302" t="s">
        <v>21</v>
      </c>
      <c r="K302" t="s">
        <v>22</v>
      </c>
    </row>
    <row r="303" spans="1:11" x14ac:dyDescent="0.3">
      <c r="A303">
        <v>1302</v>
      </c>
      <c r="B303" t="s">
        <v>54</v>
      </c>
      <c r="C303" t="s">
        <v>18</v>
      </c>
      <c r="D303">
        <v>26</v>
      </c>
      <c r="E303" t="s">
        <v>27</v>
      </c>
      <c r="F303" t="s">
        <v>28</v>
      </c>
      <c r="G303" s="3">
        <v>51569</v>
      </c>
      <c r="H303">
        <v>4</v>
      </c>
      <c r="I303" s="1">
        <v>43528</v>
      </c>
      <c r="J303" t="s">
        <v>26</v>
      </c>
      <c r="K303" t="s">
        <v>22</v>
      </c>
    </row>
    <row r="304" spans="1:11" x14ac:dyDescent="0.3">
      <c r="A304">
        <v>1303</v>
      </c>
      <c r="B304" t="s">
        <v>64</v>
      </c>
      <c r="C304" t="s">
        <v>18</v>
      </c>
      <c r="D304">
        <v>44</v>
      </c>
      <c r="E304" t="s">
        <v>45</v>
      </c>
      <c r="F304" t="s">
        <v>46</v>
      </c>
      <c r="G304" s="3">
        <v>52215</v>
      </c>
      <c r="H304">
        <v>14</v>
      </c>
      <c r="I304" s="1">
        <v>44782</v>
      </c>
      <c r="J304" t="s">
        <v>29</v>
      </c>
      <c r="K304" t="s">
        <v>16</v>
      </c>
    </row>
    <row r="305" spans="1:11" x14ac:dyDescent="0.3">
      <c r="A305">
        <v>1304</v>
      </c>
      <c r="B305" t="s">
        <v>103</v>
      </c>
      <c r="C305" t="s">
        <v>18</v>
      </c>
      <c r="D305">
        <v>35</v>
      </c>
      <c r="E305" t="s">
        <v>51</v>
      </c>
      <c r="F305" t="s">
        <v>52</v>
      </c>
      <c r="G305" s="3">
        <v>67964</v>
      </c>
      <c r="H305">
        <v>4</v>
      </c>
      <c r="I305" s="1">
        <v>43807</v>
      </c>
      <c r="J305" t="s">
        <v>31</v>
      </c>
      <c r="K305" t="s">
        <v>22</v>
      </c>
    </row>
    <row r="306" spans="1:11" x14ac:dyDescent="0.3">
      <c r="A306">
        <v>1305</v>
      </c>
      <c r="B306" t="s">
        <v>110</v>
      </c>
      <c r="C306" t="s">
        <v>12</v>
      </c>
      <c r="D306">
        <v>33</v>
      </c>
      <c r="E306" t="s">
        <v>19</v>
      </c>
      <c r="F306" t="s">
        <v>20</v>
      </c>
      <c r="G306" s="3">
        <v>29073</v>
      </c>
      <c r="H306">
        <v>30</v>
      </c>
      <c r="I306" s="1">
        <v>45522</v>
      </c>
      <c r="J306" t="s">
        <v>21</v>
      </c>
      <c r="K306" t="s">
        <v>16</v>
      </c>
    </row>
    <row r="307" spans="1:11" x14ac:dyDescent="0.3">
      <c r="A307">
        <v>1306</v>
      </c>
      <c r="B307" t="s">
        <v>87</v>
      </c>
      <c r="C307" t="s">
        <v>18</v>
      </c>
      <c r="D307">
        <v>29</v>
      </c>
      <c r="E307" t="s">
        <v>51</v>
      </c>
      <c r="F307" t="s">
        <v>52</v>
      </c>
      <c r="G307" s="3">
        <v>26567</v>
      </c>
      <c r="H307">
        <v>1</v>
      </c>
      <c r="I307" s="1">
        <v>44262</v>
      </c>
      <c r="J307" t="s">
        <v>29</v>
      </c>
      <c r="K307" t="s">
        <v>22</v>
      </c>
    </row>
    <row r="308" spans="1:11" x14ac:dyDescent="0.3">
      <c r="A308">
        <v>1307</v>
      </c>
      <c r="B308" t="s">
        <v>83</v>
      </c>
      <c r="C308" t="s">
        <v>12</v>
      </c>
      <c r="D308">
        <v>26</v>
      </c>
      <c r="E308" t="s">
        <v>27</v>
      </c>
      <c r="F308" t="s">
        <v>28</v>
      </c>
      <c r="G308" s="3">
        <v>27857</v>
      </c>
      <c r="H308">
        <v>2</v>
      </c>
      <c r="I308" s="1">
        <v>44515</v>
      </c>
      <c r="J308" t="s">
        <v>29</v>
      </c>
      <c r="K308" t="s">
        <v>16</v>
      </c>
    </row>
    <row r="309" spans="1:11" x14ac:dyDescent="0.3">
      <c r="A309">
        <v>1308</v>
      </c>
      <c r="B309" t="s">
        <v>34</v>
      </c>
      <c r="C309" t="s">
        <v>18</v>
      </c>
      <c r="D309">
        <v>51</v>
      </c>
      <c r="E309" t="s">
        <v>51</v>
      </c>
      <c r="F309" t="s">
        <v>52</v>
      </c>
      <c r="G309" s="3">
        <v>31637</v>
      </c>
      <c r="H309">
        <v>5</v>
      </c>
      <c r="I309" s="1">
        <v>45639</v>
      </c>
      <c r="J309" t="s">
        <v>42</v>
      </c>
      <c r="K309" t="s">
        <v>16</v>
      </c>
    </row>
    <row r="310" spans="1:11" x14ac:dyDescent="0.3">
      <c r="A310">
        <v>1309</v>
      </c>
      <c r="B310" t="s">
        <v>72</v>
      </c>
      <c r="C310" t="s">
        <v>12</v>
      </c>
      <c r="D310">
        <v>35</v>
      </c>
      <c r="E310" t="s">
        <v>45</v>
      </c>
      <c r="F310" t="s">
        <v>46</v>
      </c>
      <c r="G310" s="3">
        <v>49530</v>
      </c>
      <c r="H310">
        <v>8</v>
      </c>
      <c r="I310" s="1">
        <v>44778</v>
      </c>
      <c r="J310" t="s">
        <v>37</v>
      </c>
      <c r="K310" t="s">
        <v>16</v>
      </c>
    </row>
    <row r="311" spans="1:11" x14ac:dyDescent="0.3">
      <c r="A311">
        <v>1310</v>
      </c>
      <c r="B311" t="s">
        <v>57</v>
      </c>
      <c r="C311" t="s">
        <v>12</v>
      </c>
      <c r="D311">
        <v>52</v>
      </c>
      <c r="E311" t="s">
        <v>13</v>
      </c>
      <c r="F311" t="s">
        <v>14</v>
      </c>
      <c r="G311" s="3">
        <v>32992</v>
      </c>
      <c r="H311">
        <v>2</v>
      </c>
      <c r="I311" s="1">
        <v>44747</v>
      </c>
      <c r="J311" t="s">
        <v>42</v>
      </c>
      <c r="K311" t="s">
        <v>16</v>
      </c>
    </row>
    <row r="312" spans="1:11" x14ac:dyDescent="0.3">
      <c r="A312">
        <v>1311</v>
      </c>
      <c r="B312" t="s">
        <v>126</v>
      </c>
      <c r="C312" t="s">
        <v>18</v>
      </c>
      <c r="D312">
        <v>46</v>
      </c>
      <c r="E312" t="s">
        <v>13</v>
      </c>
      <c r="F312" t="s">
        <v>14</v>
      </c>
      <c r="G312" s="3">
        <v>118502</v>
      </c>
      <c r="H312">
        <v>11</v>
      </c>
      <c r="I312" s="1">
        <v>45926</v>
      </c>
      <c r="J312" t="s">
        <v>42</v>
      </c>
      <c r="K312" t="s">
        <v>22</v>
      </c>
    </row>
    <row r="313" spans="1:11" x14ac:dyDescent="0.3">
      <c r="A313">
        <v>1312</v>
      </c>
      <c r="B313" t="s">
        <v>78</v>
      </c>
      <c r="C313" t="s">
        <v>12</v>
      </c>
      <c r="D313">
        <v>39</v>
      </c>
      <c r="E313" t="s">
        <v>19</v>
      </c>
      <c r="F313" t="s">
        <v>20</v>
      </c>
      <c r="G313" s="3">
        <v>48568</v>
      </c>
      <c r="H313">
        <v>0</v>
      </c>
      <c r="I313" s="1">
        <v>45207</v>
      </c>
      <c r="J313" t="s">
        <v>37</v>
      </c>
      <c r="K313" t="s">
        <v>22</v>
      </c>
    </row>
    <row r="314" spans="1:11" x14ac:dyDescent="0.3">
      <c r="A314">
        <v>1313</v>
      </c>
      <c r="B314" t="s">
        <v>127</v>
      </c>
      <c r="C314" t="s">
        <v>12</v>
      </c>
      <c r="D314">
        <v>36</v>
      </c>
      <c r="E314" t="s">
        <v>51</v>
      </c>
      <c r="F314" t="s">
        <v>52</v>
      </c>
      <c r="G314" s="3">
        <v>45922</v>
      </c>
      <c r="H314">
        <v>3</v>
      </c>
      <c r="I314" s="1">
        <v>44508</v>
      </c>
      <c r="J314" t="s">
        <v>31</v>
      </c>
      <c r="K314" t="s">
        <v>16</v>
      </c>
    </row>
    <row r="315" spans="1:11" x14ac:dyDescent="0.3">
      <c r="A315">
        <v>1314</v>
      </c>
      <c r="B315" t="s">
        <v>36</v>
      </c>
      <c r="C315" t="s">
        <v>12</v>
      </c>
      <c r="D315">
        <v>33</v>
      </c>
      <c r="E315" t="s">
        <v>24</v>
      </c>
      <c r="F315" t="s">
        <v>25</v>
      </c>
      <c r="G315" s="3">
        <v>48081</v>
      </c>
      <c r="H315">
        <v>7</v>
      </c>
      <c r="I315" s="1">
        <v>45283</v>
      </c>
      <c r="J315" t="s">
        <v>31</v>
      </c>
      <c r="K315" t="s">
        <v>16</v>
      </c>
    </row>
    <row r="316" spans="1:11" x14ac:dyDescent="0.3">
      <c r="A316">
        <v>1315</v>
      </c>
      <c r="B316" t="s">
        <v>125</v>
      </c>
      <c r="C316" t="s">
        <v>18</v>
      </c>
      <c r="D316">
        <v>34</v>
      </c>
      <c r="E316" t="s">
        <v>13</v>
      </c>
      <c r="F316" t="s">
        <v>14</v>
      </c>
      <c r="G316" s="3">
        <v>89517</v>
      </c>
      <c r="H316">
        <v>17</v>
      </c>
      <c r="I316" s="1">
        <v>44636</v>
      </c>
      <c r="J316" t="s">
        <v>37</v>
      </c>
      <c r="K316" t="s">
        <v>16</v>
      </c>
    </row>
    <row r="317" spans="1:11" x14ac:dyDescent="0.3">
      <c r="A317">
        <v>1316</v>
      </c>
      <c r="B317" t="s">
        <v>128</v>
      </c>
      <c r="C317" t="s">
        <v>18</v>
      </c>
      <c r="D317">
        <v>23</v>
      </c>
      <c r="E317" t="s">
        <v>51</v>
      </c>
      <c r="F317" t="s">
        <v>52</v>
      </c>
      <c r="G317" s="3">
        <v>94002</v>
      </c>
      <c r="H317">
        <v>15</v>
      </c>
      <c r="I317" s="1">
        <v>43271</v>
      </c>
      <c r="J317" t="s">
        <v>26</v>
      </c>
      <c r="K317" t="s">
        <v>16</v>
      </c>
    </row>
    <row r="318" spans="1:11" x14ac:dyDescent="0.3">
      <c r="A318">
        <v>1317</v>
      </c>
      <c r="B318" t="s">
        <v>103</v>
      </c>
      <c r="C318" t="s">
        <v>18</v>
      </c>
      <c r="D318">
        <v>23</v>
      </c>
      <c r="E318" t="s">
        <v>27</v>
      </c>
      <c r="F318" t="s">
        <v>28</v>
      </c>
      <c r="G318" s="3">
        <v>44360</v>
      </c>
      <c r="H318">
        <v>18</v>
      </c>
      <c r="I318" s="1">
        <v>43889</v>
      </c>
      <c r="J318" t="s">
        <v>15</v>
      </c>
      <c r="K318" t="s">
        <v>22</v>
      </c>
    </row>
    <row r="319" spans="1:11" x14ac:dyDescent="0.3">
      <c r="A319">
        <v>1318</v>
      </c>
      <c r="B319" t="s">
        <v>120</v>
      </c>
      <c r="C319" t="s">
        <v>18</v>
      </c>
      <c r="D319">
        <v>43</v>
      </c>
      <c r="E319" t="s">
        <v>51</v>
      </c>
      <c r="F319" t="s">
        <v>52</v>
      </c>
      <c r="G319" s="3">
        <v>64552</v>
      </c>
      <c r="H319">
        <v>10</v>
      </c>
      <c r="I319" s="1">
        <v>43914</v>
      </c>
      <c r="J319" t="s">
        <v>42</v>
      </c>
      <c r="K319" t="s">
        <v>22</v>
      </c>
    </row>
    <row r="320" spans="1:11" x14ac:dyDescent="0.3">
      <c r="A320">
        <v>1319</v>
      </c>
      <c r="B320" t="s">
        <v>104</v>
      </c>
      <c r="C320" t="s">
        <v>12</v>
      </c>
      <c r="D320">
        <v>36</v>
      </c>
      <c r="E320" t="s">
        <v>13</v>
      </c>
      <c r="F320" t="s">
        <v>14</v>
      </c>
      <c r="G320" s="3">
        <v>112232</v>
      </c>
      <c r="H320">
        <v>18</v>
      </c>
      <c r="I320" s="1">
        <v>44022</v>
      </c>
      <c r="J320" t="s">
        <v>21</v>
      </c>
      <c r="K320" t="s">
        <v>22</v>
      </c>
    </row>
    <row r="321" spans="1:11" x14ac:dyDescent="0.3">
      <c r="A321">
        <v>1320</v>
      </c>
      <c r="B321" t="s">
        <v>76</v>
      </c>
      <c r="C321" t="s">
        <v>12</v>
      </c>
      <c r="D321">
        <v>24</v>
      </c>
      <c r="E321" t="s">
        <v>24</v>
      </c>
      <c r="F321" t="s">
        <v>25</v>
      </c>
      <c r="G321" s="3">
        <v>48865</v>
      </c>
      <c r="H321">
        <v>19</v>
      </c>
      <c r="I321" s="1">
        <v>45207</v>
      </c>
      <c r="J321" t="s">
        <v>21</v>
      </c>
      <c r="K321" t="s">
        <v>16</v>
      </c>
    </row>
    <row r="322" spans="1:11" x14ac:dyDescent="0.3">
      <c r="A322">
        <v>1321</v>
      </c>
      <c r="B322" t="s">
        <v>111</v>
      </c>
      <c r="C322" t="s">
        <v>18</v>
      </c>
      <c r="D322">
        <v>37</v>
      </c>
      <c r="E322" t="s">
        <v>45</v>
      </c>
      <c r="F322" t="s">
        <v>46</v>
      </c>
      <c r="G322" s="3">
        <v>70457</v>
      </c>
      <c r="H322">
        <v>10</v>
      </c>
      <c r="I322" s="1">
        <v>44138</v>
      </c>
      <c r="J322" t="s">
        <v>29</v>
      </c>
      <c r="K322" t="s">
        <v>22</v>
      </c>
    </row>
    <row r="323" spans="1:11" x14ac:dyDescent="0.3">
      <c r="A323">
        <v>1322</v>
      </c>
      <c r="B323" t="s">
        <v>118</v>
      </c>
      <c r="C323" t="s">
        <v>18</v>
      </c>
      <c r="D323">
        <v>37</v>
      </c>
      <c r="E323" t="s">
        <v>45</v>
      </c>
      <c r="F323" t="s">
        <v>46</v>
      </c>
      <c r="G323" s="3">
        <v>115855</v>
      </c>
      <c r="H323">
        <v>2</v>
      </c>
      <c r="I323" s="1">
        <v>45072</v>
      </c>
      <c r="J323" t="s">
        <v>37</v>
      </c>
      <c r="K323" t="s">
        <v>16</v>
      </c>
    </row>
    <row r="324" spans="1:11" x14ac:dyDescent="0.3">
      <c r="A324">
        <v>1323</v>
      </c>
      <c r="B324" t="s">
        <v>75</v>
      </c>
      <c r="C324" t="s">
        <v>12</v>
      </c>
      <c r="D324">
        <v>32</v>
      </c>
      <c r="E324" t="s">
        <v>51</v>
      </c>
      <c r="F324" t="s">
        <v>52</v>
      </c>
      <c r="G324" s="3">
        <v>79266</v>
      </c>
      <c r="H324">
        <v>15</v>
      </c>
      <c r="I324" s="1">
        <v>45461</v>
      </c>
      <c r="J324" t="s">
        <v>42</v>
      </c>
      <c r="K324" t="s">
        <v>16</v>
      </c>
    </row>
    <row r="325" spans="1:11" x14ac:dyDescent="0.3">
      <c r="A325">
        <v>1324</v>
      </c>
      <c r="B325" t="s">
        <v>68</v>
      </c>
      <c r="C325" t="s">
        <v>18</v>
      </c>
      <c r="D325">
        <v>50</v>
      </c>
      <c r="E325" t="s">
        <v>45</v>
      </c>
      <c r="F325" t="s">
        <v>46</v>
      </c>
      <c r="G325" s="3">
        <v>34661</v>
      </c>
      <c r="H325">
        <v>25</v>
      </c>
      <c r="I325" s="1">
        <v>43221</v>
      </c>
      <c r="J325" t="s">
        <v>31</v>
      </c>
      <c r="K325" t="s">
        <v>22</v>
      </c>
    </row>
    <row r="326" spans="1:11" x14ac:dyDescent="0.3">
      <c r="A326">
        <v>1325</v>
      </c>
      <c r="B326" t="s">
        <v>66</v>
      </c>
      <c r="C326" t="s">
        <v>18</v>
      </c>
      <c r="D326">
        <v>46</v>
      </c>
      <c r="E326" t="s">
        <v>51</v>
      </c>
      <c r="F326" t="s">
        <v>52</v>
      </c>
      <c r="G326" s="3">
        <v>46090</v>
      </c>
      <c r="H326">
        <v>23</v>
      </c>
      <c r="I326" s="1">
        <v>43711</v>
      </c>
      <c r="J326" t="s">
        <v>31</v>
      </c>
      <c r="K326" t="s">
        <v>22</v>
      </c>
    </row>
    <row r="327" spans="1:11" x14ac:dyDescent="0.3">
      <c r="A327">
        <v>1326</v>
      </c>
      <c r="B327" t="s">
        <v>129</v>
      </c>
      <c r="C327" t="s">
        <v>18</v>
      </c>
      <c r="D327">
        <v>49</v>
      </c>
      <c r="E327" t="s">
        <v>13</v>
      </c>
      <c r="F327" t="s">
        <v>14</v>
      </c>
      <c r="G327" s="3">
        <v>45591</v>
      </c>
      <c r="H327">
        <v>1</v>
      </c>
      <c r="I327" s="1">
        <v>43623</v>
      </c>
      <c r="J327" t="s">
        <v>26</v>
      </c>
      <c r="K327" t="s">
        <v>22</v>
      </c>
    </row>
    <row r="328" spans="1:11" x14ac:dyDescent="0.3">
      <c r="A328">
        <v>1327</v>
      </c>
      <c r="B328" t="s">
        <v>119</v>
      </c>
      <c r="C328" t="s">
        <v>12</v>
      </c>
      <c r="D328">
        <v>40</v>
      </c>
      <c r="E328" t="s">
        <v>13</v>
      </c>
      <c r="F328" t="s">
        <v>14</v>
      </c>
      <c r="G328" s="3">
        <v>63980</v>
      </c>
      <c r="H328">
        <v>7</v>
      </c>
      <c r="I328" s="1">
        <v>43478</v>
      </c>
      <c r="J328" t="s">
        <v>15</v>
      </c>
      <c r="K328" t="s">
        <v>22</v>
      </c>
    </row>
    <row r="329" spans="1:11" x14ac:dyDescent="0.3">
      <c r="A329">
        <v>1328</v>
      </c>
      <c r="B329" t="s">
        <v>110</v>
      </c>
      <c r="C329" t="s">
        <v>18</v>
      </c>
      <c r="D329">
        <v>49</v>
      </c>
      <c r="E329" t="s">
        <v>24</v>
      </c>
      <c r="F329" t="s">
        <v>25</v>
      </c>
      <c r="G329" s="3">
        <v>36485</v>
      </c>
      <c r="H329">
        <v>9</v>
      </c>
      <c r="I329" s="1">
        <v>45751</v>
      </c>
      <c r="J329" t="s">
        <v>37</v>
      </c>
      <c r="K329" t="s">
        <v>16</v>
      </c>
    </row>
    <row r="330" spans="1:11" x14ac:dyDescent="0.3">
      <c r="A330">
        <v>1329</v>
      </c>
      <c r="B330" t="s">
        <v>80</v>
      </c>
      <c r="C330" t="s">
        <v>12</v>
      </c>
      <c r="D330">
        <v>29</v>
      </c>
      <c r="E330" t="s">
        <v>24</v>
      </c>
      <c r="F330" t="s">
        <v>25</v>
      </c>
      <c r="G330" s="3">
        <v>65416</v>
      </c>
      <c r="H330">
        <v>25</v>
      </c>
      <c r="I330" s="1">
        <v>45520</v>
      </c>
      <c r="J330" t="s">
        <v>21</v>
      </c>
      <c r="K330" t="s">
        <v>22</v>
      </c>
    </row>
    <row r="331" spans="1:11" x14ac:dyDescent="0.3">
      <c r="A331">
        <v>1330</v>
      </c>
      <c r="B331" t="s">
        <v>92</v>
      </c>
      <c r="C331" t="s">
        <v>18</v>
      </c>
      <c r="D331">
        <v>45</v>
      </c>
      <c r="E331" t="s">
        <v>51</v>
      </c>
      <c r="F331" t="s">
        <v>52</v>
      </c>
      <c r="G331" s="3">
        <v>74996</v>
      </c>
      <c r="H331">
        <v>11</v>
      </c>
      <c r="I331" s="1">
        <v>44045</v>
      </c>
      <c r="J331" t="s">
        <v>31</v>
      </c>
      <c r="K331" t="s">
        <v>22</v>
      </c>
    </row>
    <row r="332" spans="1:11" x14ac:dyDescent="0.3">
      <c r="A332">
        <v>1331</v>
      </c>
      <c r="B332" t="s">
        <v>73</v>
      </c>
      <c r="C332" t="s">
        <v>12</v>
      </c>
      <c r="D332">
        <v>25</v>
      </c>
      <c r="E332" t="s">
        <v>45</v>
      </c>
      <c r="F332" t="s">
        <v>46</v>
      </c>
      <c r="G332" s="3">
        <v>44808</v>
      </c>
      <c r="H332">
        <v>24</v>
      </c>
      <c r="I332" s="1">
        <v>43518</v>
      </c>
      <c r="J332" t="s">
        <v>31</v>
      </c>
      <c r="K332" t="s">
        <v>22</v>
      </c>
    </row>
    <row r="333" spans="1:11" x14ac:dyDescent="0.3">
      <c r="A333">
        <v>1332</v>
      </c>
      <c r="B333" t="s">
        <v>128</v>
      </c>
      <c r="C333" t="s">
        <v>18</v>
      </c>
      <c r="D333">
        <v>46</v>
      </c>
      <c r="E333" t="s">
        <v>19</v>
      </c>
      <c r="F333" t="s">
        <v>20</v>
      </c>
      <c r="G333" s="3">
        <v>93495</v>
      </c>
      <c r="H333">
        <v>13</v>
      </c>
      <c r="I333" s="1">
        <v>45938</v>
      </c>
      <c r="J333" t="s">
        <v>42</v>
      </c>
      <c r="K333" t="s">
        <v>22</v>
      </c>
    </row>
    <row r="334" spans="1:11" x14ac:dyDescent="0.3">
      <c r="A334">
        <v>1333</v>
      </c>
      <c r="B334" t="s">
        <v>123</v>
      </c>
      <c r="C334" t="s">
        <v>18</v>
      </c>
      <c r="D334">
        <v>29</v>
      </c>
      <c r="E334" t="s">
        <v>51</v>
      </c>
      <c r="F334" t="s">
        <v>52</v>
      </c>
      <c r="G334" s="3">
        <v>83856</v>
      </c>
      <c r="H334">
        <v>5</v>
      </c>
      <c r="I334" s="1">
        <v>43947</v>
      </c>
      <c r="J334" t="s">
        <v>26</v>
      </c>
      <c r="K334" t="s">
        <v>16</v>
      </c>
    </row>
    <row r="335" spans="1:11" x14ac:dyDescent="0.3">
      <c r="A335">
        <v>1334</v>
      </c>
      <c r="B335" t="s">
        <v>17</v>
      </c>
      <c r="C335" t="s">
        <v>12</v>
      </c>
      <c r="D335">
        <v>34</v>
      </c>
      <c r="E335" t="s">
        <v>51</v>
      </c>
      <c r="F335" t="s">
        <v>52</v>
      </c>
      <c r="G335" s="3">
        <v>107211</v>
      </c>
      <c r="H335">
        <v>4</v>
      </c>
      <c r="I335" s="1">
        <v>44736</v>
      </c>
      <c r="J335" t="s">
        <v>29</v>
      </c>
      <c r="K335" t="s">
        <v>16</v>
      </c>
    </row>
    <row r="336" spans="1:11" x14ac:dyDescent="0.3">
      <c r="A336">
        <v>1335</v>
      </c>
      <c r="B336" t="s">
        <v>86</v>
      </c>
      <c r="C336" t="s">
        <v>12</v>
      </c>
      <c r="D336">
        <v>42</v>
      </c>
      <c r="E336" t="s">
        <v>51</v>
      </c>
      <c r="F336" t="s">
        <v>52</v>
      </c>
      <c r="G336" s="3">
        <v>61202</v>
      </c>
      <c r="H336">
        <v>16</v>
      </c>
      <c r="I336" s="1">
        <v>45683</v>
      </c>
      <c r="J336" t="s">
        <v>21</v>
      </c>
      <c r="K336" t="s">
        <v>22</v>
      </c>
    </row>
    <row r="337" spans="1:11" x14ac:dyDescent="0.3">
      <c r="A337">
        <v>1336</v>
      </c>
      <c r="B337" t="s">
        <v>72</v>
      </c>
      <c r="C337" t="s">
        <v>18</v>
      </c>
      <c r="D337">
        <v>28</v>
      </c>
      <c r="E337" t="s">
        <v>51</v>
      </c>
      <c r="F337" t="s">
        <v>52</v>
      </c>
      <c r="G337" s="3">
        <v>38845</v>
      </c>
      <c r="H337">
        <v>18</v>
      </c>
      <c r="I337" s="1">
        <v>43613</v>
      </c>
      <c r="J337" t="s">
        <v>15</v>
      </c>
      <c r="K337" t="s">
        <v>22</v>
      </c>
    </row>
    <row r="338" spans="1:11" x14ac:dyDescent="0.3">
      <c r="A338">
        <v>1337</v>
      </c>
      <c r="B338" t="s">
        <v>121</v>
      </c>
      <c r="C338" t="s">
        <v>12</v>
      </c>
      <c r="D338">
        <v>52</v>
      </c>
      <c r="E338" t="s">
        <v>45</v>
      </c>
      <c r="F338" t="s">
        <v>46</v>
      </c>
      <c r="G338" s="3">
        <v>29910</v>
      </c>
      <c r="H338">
        <v>5</v>
      </c>
      <c r="I338" s="1">
        <v>44747</v>
      </c>
      <c r="J338" t="s">
        <v>15</v>
      </c>
      <c r="K338" t="s">
        <v>22</v>
      </c>
    </row>
    <row r="339" spans="1:11" x14ac:dyDescent="0.3">
      <c r="A339">
        <v>1338</v>
      </c>
      <c r="B339" t="s">
        <v>50</v>
      </c>
      <c r="C339" t="s">
        <v>18</v>
      </c>
      <c r="D339">
        <v>25</v>
      </c>
      <c r="E339" t="s">
        <v>51</v>
      </c>
      <c r="F339" t="s">
        <v>52</v>
      </c>
      <c r="G339" s="3">
        <v>87287</v>
      </c>
      <c r="H339">
        <v>29</v>
      </c>
      <c r="I339" s="1">
        <v>44713</v>
      </c>
      <c r="J339" t="s">
        <v>31</v>
      </c>
      <c r="K339" t="s">
        <v>22</v>
      </c>
    </row>
    <row r="340" spans="1:11" x14ac:dyDescent="0.3">
      <c r="A340">
        <v>1339</v>
      </c>
      <c r="B340" t="s">
        <v>121</v>
      </c>
      <c r="C340" t="s">
        <v>18</v>
      </c>
      <c r="D340">
        <v>36</v>
      </c>
      <c r="E340" t="s">
        <v>27</v>
      </c>
      <c r="F340" t="s">
        <v>28</v>
      </c>
      <c r="G340" s="3">
        <v>42614</v>
      </c>
      <c r="H340">
        <v>9</v>
      </c>
      <c r="I340" s="1">
        <v>45817</v>
      </c>
      <c r="J340" t="s">
        <v>21</v>
      </c>
      <c r="K340" t="s">
        <v>22</v>
      </c>
    </row>
    <row r="341" spans="1:11" x14ac:dyDescent="0.3">
      <c r="A341">
        <v>1340</v>
      </c>
      <c r="B341" t="s">
        <v>109</v>
      </c>
      <c r="C341" t="s">
        <v>12</v>
      </c>
      <c r="D341">
        <v>35</v>
      </c>
      <c r="E341" t="s">
        <v>19</v>
      </c>
      <c r="F341" t="s">
        <v>20</v>
      </c>
      <c r="G341" s="3">
        <v>78368</v>
      </c>
      <c r="H341">
        <v>23</v>
      </c>
      <c r="I341" s="1">
        <v>45928</v>
      </c>
      <c r="J341" t="s">
        <v>31</v>
      </c>
      <c r="K341" t="s">
        <v>16</v>
      </c>
    </row>
    <row r="342" spans="1:11" x14ac:dyDescent="0.3">
      <c r="A342">
        <v>1341</v>
      </c>
      <c r="B342" t="s">
        <v>76</v>
      </c>
      <c r="C342" t="s">
        <v>12</v>
      </c>
      <c r="D342">
        <v>54</v>
      </c>
      <c r="E342" t="s">
        <v>19</v>
      </c>
      <c r="F342" t="s">
        <v>20</v>
      </c>
      <c r="G342" s="3">
        <v>77872</v>
      </c>
      <c r="H342">
        <v>4</v>
      </c>
      <c r="I342" s="1">
        <v>43166</v>
      </c>
      <c r="J342" t="s">
        <v>29</v>
      </c>
      <c r="K342" t="s">
        <v>16</v>
      </c>
    </row>
    <row r="343" spans="1:11" x14ac:dyDescent="0.3">
      <c r="A343">
        <v>1342</v>
      </c>
      <c r="B343" t="s">
        <v>47</v>
      </c>
      <c r="C343" t="s">
        <v>12</v>
      </c>
      <c r="D343">
        <v>25</v>
      </c>
      <c r="E343" t="s">
        <v>51</v>
      </c>
      <c r="F343" t="s">
        <v>52</v>
      </c>
      <c r="G343" s="3">
        <v>72235</v>
      </c>
      <c r="H343">
        <v>22</v>
      </c>
      <c r="I343" s="1">
        <v>44328</v>
      </c>
      <c r="J343" t="s">
        <v>29</v>
      </c>
      <c r="K343" t="s">
        <v>22</v>
      </c>
    </row>
    <row r="344" spans="1:11" x14ac:dyDescent="0.3">
      <c r="A344">
        <v>1343</v>
      </c>
      <c r="B344" t="s">
        <v>123</v>
      </c>
      <c r="C344" t="s">
        <v>18</v>
      </c>
      <c r="D344">
        <v>37</v>
      </c>
      <c r="E344" t="s">
        <v>19</v>
      </c>
      <c r="F344" t="s">
        <v>20</v>
      </c>
      <c r="G344" s="3">
        <v>73819</v>
      </c>
      <c r="H344">
        <v>15</v>
      </c>
      <c r="I344" s="1">
        <v>45744</v>
      </c>
      <c r="J344" t="s">
        <v>42</v>
      </c>
      <c r="K344" t="s">
        <v>22</v>
      </c>
    </row>
    <row r="345" spans="1:11" x14ac:dyDescent="0.3">
      <c r="A345">
        <v>1344</v>
      </c>
      <c r="B345" t="s">
        <v>103</v>
      </c>
      <c r="C345" t="s">
        <v>18</v>
      </c>
      <c r="D345">
        <v>40</v>
      </c>
      <c r="E345" t="s">
        <v>27</v>
      </c>
      <c r="F345" t="s">
        <v>28</v>
      </c>
      <c r="G345" s="3">
        <v>28597</v>
      </c>
      <c r="H345">
        <v>12</v>
      </c>
      <c r="I345" s="1">
        <v>43187</v>
      </c>
      <c r="J345" t="s">
        <v>15</v>
      </c>
      <c r="K345" t="s">
        <v>16</v>
      </c>
    </row>
    <row r="346" spans="1:11" x14ac:dyDescent="0.3">
      <c r="A346">
        <v>1345</v>
      </c>
      <c r="B346" t="s">
        <v>108</v>
      </c>
      <c r="C346" t="s">
        <v>12</v>
      </c>
      <c r="D346">
        <v>48</v>
      </c>
      <c r="E346" t="s">
        <v>24</v>
      </c>
      <c r="F346" t="s">
        <v>25</v>
      </c>
      <c r="G346" s="3">
        <v>92276</v>
      </c>
      <c r="H346">
        <v>0</v>
      </c>
      <c r="I346" s="1">
        <v>43317</v>
      </c>
      <c r="J346" t="s">
        <v>21</v>
      </c>
      <c r="K346" t="s">
        <v>16</v>
      </c>
    </row>
    <row r="347" spans="1:11" x14ac:dyDescent="0.3">
      <c r="A347">
        <v>1346</v>
      </c>
      <c r="B347" t="s">
        <v>124</v>
      </c>
      <c r="C347" t="s">
        <v>12</v>
      </c>
      <c r="D347">
        <v>41</v>
      </c>
      <c r="E347" t="s">
        <v>19</v>
      </c>
      <c r="F347" t="s">
        <v>20</v>
      </c>
      <c r="G347" s="3">
        <v>118420</v>
      </c>
      <c r="H347">
        <v>30</v>
      </c>
      <c r="I347" s="1">
        <v>44755</v>
      </c>
      <c r="J347" t="s">
        <v>29</v>
      </c>
      <c r="K347" t="s">
        <v>22</v>
      </c>
    </row>
    <row r="348" spans="1:11" x14ac:dyDescent="0.3">
      <c r="A348">
        <v>1347</v>
      </c>
      <c r="B348" t="s">
        <v>73</v>
      </c>
      <c r="C348" t="s">
        <v>12</v>
      </c>
      <c r="D348">
        <v>41</v>
      </c>
      <c r="E348" t="s">
        <v>45</v>
      </c>
      <c r="F348" t="s">
        <v>46</v>
      </c>
      <c r="G348" s="3">
        <v>113761</v>
      </c>
      <c r="H348">
        <v>16</v>
      </c>
      <c r="I348" s="1">
        <v>45569</v>
      </c>
      <c r="J348" t="s">
        <v>37</v>
      </c>
      <c r="K348" t="s">
        <v>22</v>
      </c>
    </row>
    <row r="349" spans="1:11" x14ac:dyDescent="0.3">
      <c r="A349">
        <v>1348</v>
      </c>
      <c r="B349" t="s">
        <v>114</v>
      </c>
      <c r="C349" t="s">
        <v>12</v>
      </c>
      <c r="D349">
        <v>41</v>
      </c>
      <c r="E349" t="s">
        <v>19</v>
      </c>
      <c r="F349" t="s">
        <v>20</v>
      </c>
      <c r="G349" s="3">
        <v>114707</v>
      </c>
      <c r="H349">
        <v>3</v>
      </c>
      <c r="I349" s="1">
        <v>45699</v>
      </c>
      <c r="J349" t="s">
        <v>31</v>
      </c>
      <c r="K349" t="s">
        <v>22</v>
      </c>
    </row>
    <row r="350" spans="1:11" x14ac:dyDescent="0.3">
      <c r="A350">
        <v>1349</v>
      </c>
      <c r="B350" t="s">
        <v>74</v>
      </c>
      <c r="C350" t="s">
        <v>18</v>
      </c>
      <c r="D350">
        <v>31</v>
      </c>
      <c r="E350" t="s">
        <v>27</v>
      </c>
      <c r="F350" t="s">
        <v>28</v>
      </c>
      <c r="G350" s="3">
        <v>92802</v>
      </c>
      <c r="H350">
        <v>24</v>
      </c>
      <c r="I350" s="1">
        <v>44222</v>
      </c>
      <c r="J350" t="s">
        <v>29</v>
      </c>
      <c r="K350" t="s">
        <v>22</v>
      </c>
    </row>
    <row r="351" spans="1:11" x14ac:dyDescent="0.3">
      <c r="A351">
        <v>1350</v>
      </c>
      <c r="B351" t="s">
        <v>104</v>
      </c>
      <c r="C351" t="s">
        <v>18</v>
      </c>
      <c r="D351">
        <v>53</v>
      </c>
      <c r="E351" t="s">
        <v>13</v>
      </c>
      <c r="F351" t="s">
        <v>14</v>
      </c>
      <c r="G351" s="3">
        <v>63745</v>
      </c>
      <c r="H351">
        <v>8</v>
      </c>
      <c r="I351" s="1">
        <v>45486</v>
      </c>
      <c r="J351" t="s">
        <v>21</v>
      </c>
      <c r="K351" t="s">
        <v>16</v>
      </c>
    </row>
    <row r="352" spans="1:11" x14ac:dyDescent="0.3">
      <c r="A352">
        <v>1351</v>
      </c>
      <c r="B352" t="s">
        <v>68</v>
      </c>
      <c r="C352" t="s">
        <v>12</v>
      </c>
      <c r="D352">
        <v>36</v>
      </c>
      <c r="E352" t="s">
        <v>19</v>
      </c>
      <c r="F352" t="s">
        <v>20</v>
      </c>
      <c r="G352" s="3">
        <v>114957</v>
      </c>
      <c r="H352">
        <v>17</v>
      </c>
      <c r="I352" s="1">
        <v>45973</v>
      </c>
      <c r="J352" t="s">
        <v>15</v>
      </c>
      <c r="K352" t="s">
        <v>22</v>
      </c>
    </row>
    <row r="353" spans="1:11" x14ac:dyDescent="0.3">
      <c r="A353">
        <v>1352</v>
      </c>
      <c r="B353" t="s">
        <v>62</v>
      </c>
      <c r="C353" t="s">
        <v>12</v>
      </c>
      <c r="D353">
        <v>28</v>
      </c>
      <c r="E353" t="s">
        <v>24</v>
      </c>
      <c r="F353" t="s">
        <v>25</v>
      </c>
      <c r="G353" s="3">
        <v>86706</v>
      </c>
      <c r="H353">
        <v>4</v>
      </c>
      <c r="I353" s="1">
        <v>44921</v>
      </c>
      <c r="J353" t="s">
        <v>15</v>
      </c>
      <c r="K353" t="s">
        <v>16</v>
      </c>
    </row>
    <row r="354" spans="1:11" x14ac:dyDescent="0.3">
      <c r="A354">
        <v>1353</v>
      </c>
      <c r="B354" t="s">
        <v>34</v>
      </c>
      <c r="C354" t="s">
        <v>18</v>
      </c>
      <c r="D354">
        <v>44</v>
      </c>
      <c r="E354" t="s">
        <v>13</v>
      </c>
      <c r="F354" t="s">
        <v>14</v>
      </c>
      <c r="G354" s="3">
        <v>54272</v>
      </c>
      <c r="H354">
        <v>23</v>
      </c>
      <c r="I354" s="1">
        <v>44768</v>
      </c>
      <c r="J354" t="s">
        <v>31</v>
      </c>
      <c r="K354" t="s">
        <v>22</v>
      </c>
    </row>
    <row r="355" spans="1:11" x14ac:dyDescent="0.3">
      <c r="A355">
        <v>1354</v>
      </c>
      <c r="B355" t="s">
        <v>69</v>
      </c>
      <c r="C355" t="s">
        <v>12</v>
      </c>
      <c r="D355">
        <v>29</v>
      </c>
      <c r="E355" t="s">
        <v>27</v>
      </c>
      <c r="F355" t="s">
        <v>28</v>
      </c>
      <c r="G355" s="3">
        <v>86674</v>
      </c>
      <c r="H355">
        <v>1</v>
      </c>
      <c r="I355" s="1">
        <v>43684</v>
      </c>
      <c r="J355" t="s">
        <v>15</v>
      </c>
      <c r="K355" t="s">
        <v>16</v>
      </c>
    </row>
    <row r="356" spans="1:11" x14ac:dyDescent="0.3">
      <c r="A356">
        <v>1355</v>
      </c>
      <c r="B356" t="s">
        <v>86</v>
      </c>
      <c r="C356" t="s">
        <v>12</v>
      </c>
      <c r="D356">
        <v>48</v>
      </c>
      <c r="E356" t="s">
        <v>13</v>
      </c>
      <c r="F356" t="s">
        <v>14</v>
      </c>
      <c r="G356" s="3">
        <v>32086</v>
      </c>
      <c r="H356">
        <v>27</v>
      </c>
      <c r="I356" s="1">
        <v>43897</v>
      </c>
      <c r="J356" t="s">
        <v>31</v>
      </c>
      <c r="K356" t="s">
        <v>22</v>
      </c>
    </row>
    <row r="357" spans="1:11" x14ac:dyDescent="0.3">
      <c r="A357">
        <v>1356</v>
      </c>
      <c r="B357" t="s">
        <v>79</v>
      </c>
      <c r="C357" t="s">
        <v>12</v>
      </c>
      <c r="D357">
        <v>33</v>
      </c>
      <c r="E357" t="s">
        <v>19</v>
      </c>
      <c r="F357" t="s">
        <v>20</v>
      </c>
      <c r="G357" s="3">
        <v>35592</v>
      </c>
      <c r="H357">
        <v>15</v>
      </c>
      <c r="I357" s="1">
        <v>45236</v>
      </c>
      <c r="J357" t="s">
        <v>31</v>
      </c>
      <c r="K357" t="s">
        <v>16</v>
      </c>
    </row>
    <row r="358" spans="1:11" x14ac:dyDescent="0.3">
      <c r="A358">
        <v>1357</v>
      </c>
      <c r="B358" t="s">
        <v>54</v>
      </c>
      <c r="C358" t="s">
        <v>18</v>
      </c>
      <c r="D358">
        <v>32</v>
      </c>
      <c r="E358" t="s">
        <v>51</v>
      </c>
      <c r="F358" t="s">
        <v>52</v>
      </c>
      <c r="G358" s="3">
        <v>100534</v>
      </c>
      <c r="H358">
        <v>24</v>
      </c>
      <c r="I358" s="1">
        <v>44069</v>
      </c>
      <c r="J358" t="s">
        <v>29</v>
      </c>
      <c r="K358" t="s">
        <v>16</v>
      </c>
    </row>
    <row r="359" spans="1:11" x14ac:dyDescent="0.3">
      <c r="A359">
        <v>1358</v>
      </c>
      <c r="B359" t="s">
        <v>106</v>
      </c>
      <c r="C359" t="s">
        <v>12</v>
      </c>
      <c r="D359">
        <v>47</v>
      </c>
      <c r="E359" t="s">
        <v>24</v>
      </c>
      <c r="F359" t="s">
        <v>25</v>
      </c>
      <c r="G359" s="3">
        <v>81233</v>
      </c>
      <c r="H359">
        <v>30</v>
      </c>
      <c r="I359" s="1">
        <v>45839</v>
      </c>
      <c r="J359" t="s">
        <v>37</v>
      </c>
      <c r="K359" t="s">
        <v>16</v>
      </c>
    </row>
    <row r="360" spans="1:11" x14ac:dyDescent="0.3">
      <c r="A360">
        <v>1359</v>
      </c>
      <c r="B360" t="s">
        <v>58</v>
      </c>
      <c r="C360" t="s">
        <v>12</v>
      </c>
      <c r="D360">
        <v>55</v>
      </c>
      <c r="E360" t="s">
        <v>13</v>
      </c>
      <c r="F360" t="s">
        <v>14</v>
      </c>
      <c r="G360" s="3">
        <v>49979</v>
      </c>
      <c r="H360">
        <v>0</v>
      </c>
      <c r="I360" s="1">
        <v>43428</v>
      </c>
      <c r="J360" t="s">
        <v>26</v>
      </c>
      <c r="K360" t="s">
        <v>16</v>
      </c>
    </row>
    <row r="361" spans="1:11" x14ac:dyDescent="0.3">
      <c r="A361">
        <v>1360</v>
      </c>
      <c r="B361" t="s">
        <v>93</v>
      </c>
      <c r="C361" t="s">
        <v>18</v>
      </c>
      <c r="D361">
        <v>28</v>
      </c>
      <c r="E361" t="s">
        <v>13</v>
      </c>
      <c r="F361" t="s">
        <v>14</v>
      </c>
      <c r="G361" s="3">
        <v>75272</v>
      </c>
      <c r="H361">
        <v>16</v>
      </c>
      <c r="I361" s="1">
        <v>44623</v>
      </c>
      <c r="J361" t="s">
        <v>29</v>
      </c>
      <c r="K361" t="s">
        <v>16</v>
      </c>
    </row>
    <row r="362" spans="1:11" x14ac:dyDescent="0.3">
      <c r="A362">
        <v>1361</v>
      </c>
      <c r="B362" t="s">
        <v>57</v>
      </c>
      <c r="C362" t="s">
        <v>12</v>
      </c>
      <c r="D362">
        <v>49</v>
      </c>
      <c r="E362" t="s">
        <v>27</v>
      </c>
      <c r="F362" t="s">
        <v>28</v>
      </c>
      <c r="G362" s="3">
        <v>115017</v>
      </c>
      <c r="H362">
        <v>4</v>
      </c>
      <c r="I362" s="1">
        <v>45150</v>
      </c>
      <c r="J362" t="s">
        <v>29</v>
      </c>
      <c r="K362" t="s">
        <v>16</v>
      </c>
    </row>
    <row r="363" spans="1:11" x14ac:dyDescent="0.3">
      <c r="A363">
        <v>1362</v>
      </c>
      <c r="B363" t="s">
        <v>123</v>
      </c>
      <c r="C363" t="s">
        <v>18</v>
      </c>
      <c r="D363">
        <v>36</v>
      </c>
      <c r="E363" t="s">
        <v>24</v>
      </c>
      <c r="F363" t="s">
        <v>25</v>
      </c>
      <c r="G363" s="3">
        <v>42197</v>
      </c>
      <c r="H363">
        <v>6</v>
      </c>
      <c r="I363" s="1">
        <v>43390</v>
      </c>
      <c r="J363" t="s">
        <v>26</v>
      </c>
      <c r="K363" t="s">
        <v>16</v>
      </c>
    </row>
    <row r="364" spans="1:11" x14ac:dyDescent="0.3">
      <c r="A364">
        <v>1363</v>
      </c>
      <c r="B364" t="s">
        <v>113</v>
      </c>
      <c r="C364" t="s">
        <v>12</v>
      </c>
      <c r="D364">
        <v>25</v>
      </c>
      <c r="E364" t="s">
        <v>27</v>
      </c>
      <c r="F364" t="s">
        <v>28</v>
      </c>
      <c r="G364" s="3">
        <v>102846</v>
      </c>
      <c r="H364">
        <v>1</v>
      </c>
      <c r="I364" s="1">
        <v>43796</v>
      </c>
      <c r="J364" t="s">
        <v>37</v>
      </c>
      <c r="K364" t="s">
        <v>16</v>
      </c>
    </row>
    <row r="365" spans="1:11" x14ac:dyDescent="0.3">
      <c r="A365">
        <v>1364</v>
      </c>
      <c r="B365" t="s">
        <v>97</v>
      </c>
      <c r="C365" t="s">
        <v>12</v>
      </c>
      <c r="D365">
        <v>46</v>
      </c>
      <c r="E365" t="s">
        <v>13</v>
      </c>
      <c r="F365" t="s">
        <v>14</v>
      </c>
      <c r="G365" s="3">
        <v>41199</v>
      </c>
      <c r="H365">
        <v>17</v>
      </c>
      <c r="I365" s="1">
        <v>44796</v>
      </c>
      <c r="J365" t="s">
        <v>26</v>
      </c>
      <c r="K365" t="s">
        <v>16</v>
      </c>
    </row>
    <row r="366" spans="1:11" x14ac:dyDescent="0.3">
      <c r="A366">
        <v>1365</v>
      </c>
      <c r="B366" t="s">
        <v>118</v>
      </c>
      <c r="C366" t="s">
        <v>12</v>
      </c>
      <c r="D366">
        <v>28</v>
      </c>
      <c r="E366" t="s">
        <v>13</v>
      </c>
      <c r="F366" t="s">
        <v>14</v>
      </c>
      <c r="G366" s="3">
        <v>111832</v>
      </c>
      <c r="H366">
        <v>16</v>
      </c>
      <c r="I366" s="1">
        <v>44854</v>
      </c>
      <c r="J366" t="s">
        <v>21</v>
      </c>
      <c r="K366" t="s">
        <v>16</v>
      </c>
    </row>
    <row r="367" spans="1:11" x14ac:dyDescent="0.3">
      <c r="A367">
        <v>1366</v>
      </c>
      <c r="B367" t="s">
        <v>39</v>
      </c>
      <c r="C367" t="s">
        <v>18</v>
      </c>
      <c r="D367">
        <v>40</v>
      </c>
      <c r="E367" t="s">
        <v>45</v>
      </c>
      <c r="F367" t="s">
        <v>46</v>
      </c>
      <c r="G367" s="3">
        <v>39943</v>
      </c>
      <c r="H367">
        <v>25</v>
      </c>
      <c r="I367" s="1">
        <v>43684</v>
      </c>
      <c r="J367" t="s">
        <v>15</v>
      </c>
      <c r="K367" t="s">
        <v>16</v>
      </c>
    </row>
    <row r="368" spans="1:11" x14ac:dyDescent="0.3">
      <c r="A368">
        <v>1367</v>
      </c>
      <c r="B368" t="s">
        <v>126</v>
      </c>
      <c r="C368" t="s">
        <v>12</v>
      </c>
      <c r="D368">
        <v>48</v>
      </c>
      <c r="E368" t="s">
        <v>27</v>
      </c>
      <c r="F368" t="s">
        <v>28</v>
      </c>
      <c r="G368" s="3">
        <v>63712</v>
      </c>
      <c r="H368">
        <v>5</v>
      </c>
      <c r="I368" s="1">
        <v>43359</v>
      </c>
      <c r="J368" t="s">
        <v>26</v>
      </c>
      <c r="K368" t="s">
        <v>22</v>
      </c>
    </row>
    <row r="369" spans="1:11" x14ac:dyDescent="0.3">
      <c r="A369">
        <v>1368</v>
      </c>
      <c r="B369" t="s">
        <v>47</v>
      </c>
      <c r="C369" t="s">
        <v>18</v>
      </c>
      <c r="D369">
        <v>27</v>
      </c>
      <c r="E369" t="s">
        <v>27</v>
      </c>
      <c r="F369" t="s">
        <v>28</v>
      </c>
      <c r="G369" s="3">
        <v>39474</v>
      </c>
      <c r="H369">
        <v>26</v>
      </c>
      <c r="I369" s="1">
        <v>45719</v>
      </c>
      <c r="J369" t="s">
        <v>29</v>
      </c>
      <c r="K369" t="s">
        <v>16</v>
      </c>
    </row>
    <row r="370" spans="1:11" x14ac:dyDescent="0.3">
      <c r="A370">
        <v>1369</v>
      </c>
      <c r="B370" t="s">
        <v>63</v>
      </c>
      <c r="C370" t="s">
        <v>18</v>
      </c>
      <c r="D370">
        <v>51</v>
      </c>
      <c r="E370" t="s">
        <v>13</v>
      </c>
      <c r="F370" t="s">
        <v>14</v>
      </c>
      <c r="G370" s="3">
        <v>63800</v>
      </c>
      <c r="H370">
        <v>8</v>
      </c>
      <c r="I370" s="1">
        <v>45661</v>
      </c>
      <c r="J370" t="s">
        <v>29</v>
      </c>
      <c r="K370" t="s">
        <v>16</v>
      </c>
    </row>
    <row r="371" spans="1:11" x14ac:dyDescent="0.3">
      <c r="A371">
        <v>1370</v>
      </c>
      <c r="B371" t="s">
        <v>94</v>
      </c>
      <c r="C371" t="s">
        <v>12</v>
      </c>
      <c r="D371">
        <v>49</v>
      </c>
      <c r="E371" t="s">
        <v>51</v>
      </c>
      <c r="F371" t="s">
        <v>52</v>
      </c>
      <c r="G371" s="3">
        <v>40191</v>
      </c>
      <c r="H371">
        <v>3</v>
      </c>
      <c r="I371" s="1">
        <v>43128</v>
      </c>
      <c r="J371" t="s">
        <v>26</v>
      </c>
      <c r="K371" t="s">
        <v>16</v>
      </c>
    </row>
    <row r="372" spans="1:11" x14ac:dyDescent="0.3">
      <c r="A372">
        <v>1371</v>
      </c>
      <c r="B372" t="s">
        <v>120</v>
      </c>
      <c r="C372" t="s">
        <v>12</v>
      </c>
      <c r="D372">
        <v>27</v>
      </c>
      <c r="E372" t="s">
        <v>27</v>
      </c>
      <c r="F372" t="s">
        <v>28</v>
      </c>
      <c r="G372" s="3">
        <v>73840</v>
      </c>
      <c r="H372">
        <v>26</v>
      </c>
      <c r="I372" s="1">
        <v>44989</v>
      </c>
      <c r="J372" t="s">
        <v>42</v>
      </c>
      <c r="K372" t="s">
        <v>22</v>
      </c>
    </row>
    <row r="373" spans="1:11" x14ac:dyDescent="0.3">
      <c r="A373">
        <v>1372</v>
      </c>
      <c r="B373" t="s">
        <v>121</v>
      </c>
      <c r="C373" t="s">
        <v>12</v>
      </c>
      <c r="D373">
        <v>48</v>
      </c>
      <c r="E373" t="s">
        <v>45</v>
      </c>
      <c r="F373" t="s">
        <v>46</v>
      </c>
      <c r="G373" s="3">
        <v>110045</v>
      </c>
      <c r="H373">
        <v>28</v>
      </c>
      <c r="I373" s="1">
        <v>43866</v>
      </c>
      <c r="J373" t="s">
        <v>21</v>
      </c>
      <c r="K373" t="s">
        <v>16</v>
      </c>
    </row>
    <row r="374" spans="1:11" x14ac:dyDescent="0.3">
      <c r="A374">
        <v>1373</v>
      </c>
      <c r="B374" t="s">
        <v>97</v>
      </c>
      <c r="C374" t="s">
        <v>12</v>
      </c>
      <c r="D374">
        <v>50</v>
      </c>
      <c r="E374" t="s">
        <v>24</v>
      </c>
      <c r="F374" t="s">
        <v>25</v>
      </c>
      <c r="G374" s="3">
        <v>48758</v>
      </c>
      <c r="H374">
        <v>19</v>
      </c>
      <c r="I374" s="1">
        <v>45463</v>
      </c>
      <c r="J374" t="s">
        <v>37</v>
      </c>
      <c r="K374" t="s">
        <v>16</v>
      </c>
    </row>
    <row r="375" spans="1:11" x14ac:dyDescent="0.3">
      <c r="A375">
        <v>1374</v>
      </c>
      <c r="B375" t="s">
        <v>85</v>
      </c>
      <c r="C375" t="s">
        <v>12</v>
      </c>
      <c r="D375">
        <v>50</v>
      </c>
      <c r="E375" t="s">
        <v>45</v>
      </c>
      <c r="F375" t="s">
        <v>46</v>
      </c>
      <c r="G375" s="3">
        <v>31025</v>
      </c>
      <c r="H375">
        <v>2</v>
      </c>
      <c r="I375" s="1">
        <v>44876</v>
      </c>
      <c r="J375" t="s">
        <v>37</v>
      </c>
      <c r="K375" t="s">
        <v>16</v>
      </c>
    </row>
    <row r="376" spans="1:11" x14ac:dyDescent="0.3">
      <c r="A376">
        <v>1375</v>
      </c>
      <c r="B376" t="s">
        <v>89</v>
      </c>
      <c r="C376" t="s">
        <v>18</v>
      </c>
      <c r="D376">
        <v>49</v>
      </c>
      <c r="E376" t="s">
        <v>13</v>
      </c>
      <c r="F376" t="s">
        <v>14</v>
      </c>
      <c r="G376" s="3">
        <v>111732</v>
      </c>
      <c r="H376">
        <v>23</v>
      </c>
      <c r="I376" s="1">
        <v>44420</v>
      </c>
      <c r="J376" t="s">
        <v>21</v>
      </c>
      <c r="K376" t="s">
        <v>22</v>
      </c>
    </row>
    <row r="377" spans="1:11" x14ac:dyDescent="0.3">
      <c r="A377">
        <v>1376</v>
      </c>
      <c r="B377" t="s">
        <v>119</v>
      </c>
      <c r="C377" t="s">
        <v>18</v>
      </c>
      <c r="D377">
        <v>22</v>
      </c>
      <c r="E377" t="s">
        <v>24</v>
      </c>
      <c r="F377" t="s">
        <v>25</v>
      </c>
      <c r="G377" s="3">
        <v>109331</v>
      </c>
      <c r="H377">
        <v>29</v>
      </c>
      <c r="I377" s="1">
        <v>44102</v>
      </c>
      <c r="J377" t="s">
        <v>42</v>
      </c>
      <c r="K377" t="s">
        <v>22</v>
      </c>
    </row>
    <row r="378" spans="1:11" x14ac:dyDescent="0.3">
      <c r="A378">
        <v>1377</v>
      </c>
      <c r="B378" t="s">
        <v>82</v>
      </c>
      <c r="C378" t="s">
        <v>12</v>
      </c>
      <c r="D378">
        <v>37</v>
      </c>
      <c r="E378" t="s">
        <v>24</v>
      </c>
      <c r="F378" t="s">
        <v>25</v>
      </c>
      <c r="G378" s="3">
        <v>68371</v>
      </c>
      <c r="H378">
        <v>8</v>
      </c>
      <c r="I378" s="1">
        <v>43351</v>
      </c>
      <c r="J378" t="s">
        <v>15</v>
      </c>
      <c r="K378" t="s">
        <v>22</v>
      </c>
    </row>
    <row r="379" spans="1:11" x14ac:dyDescent="0.3">
      <c r="A379">
        <v>1378</v>
      </c>
      <c r="B379" t="s">
        <v>47</v>
      </c>
      <c r="C379" t="s">
        <v>12</v>
      </c>
      <c r="D379">
        <v>50</v>
      </c>
      <c r="E379" t="s">
        <v>45</v>
      </c>
      <c r="F379" t="s">
        <v>46</v>
      </c>
      <c r="G379" s="3">
        <v>100108</v>
      </c>
      <c r="H379">
        <v>14</v>
      </c>
      <c r="I379" s="1">
        <v>43692</v>
      </c>
      <c r="J379" t="s">
        <v>31</v>
      </c>
      <c r="K379" t="s">
        <v>16</v>
      </c>
    </row>
    <row r="380" spans="1:11" x14ac:dyDescent="0.3">
      <c r="A380">
        <v>1379</v>
      </c>
      <c r="B380" t="s">
        <v>101</v>
      </c>
      <c r="C380" t="s">
        <v>12</v>
      </c>
      <c r="D380">
        <v>48</v>
      </c>
      <c r="E380" t="s">
        <v>45</v>
      </c>
      <c r="F380" t="s">
        <v>46</v>
      </c>
      <c r="G380" s="3">
        <v>29696</v>
      </c>
      <c r="H380">
        <v>17</v>
      </c>
      <c r="I380" s="1">
        <v>43157</v>
      </c>
      <c r="J380" t="s">
        <v>15</v>
      </c>
      <c r="K380" t="s">
        <v>22</v>
      </c>
    </row>
    <row r="381" spans="1:11" x14ac:dyDescent="0.3">
      <c r="A381">
        <v>1380</v>
      </c>
      <c r="B381" t="s">
        <v>62</v>
      </c>
      <c r="C381" t="s">
        <v>12</v>
      </c>
      <c r="D381">
        <v>43</v>
      </c>
      <c r="E381" t="s">
        <v>19</v>
      </c>
      <c r="F381" t="s">
        <v>20</v>
      </c>
      <c r="G381" s="3">
        <v>72624</v>
      </c>
      <c r="H381">
        <v>26</v>
      </c>
      <c r="I381" s="1">
        <v>43218</v>
      </c>
      <c r="J381" t="s">
        <v>42</v>
      </c>
      <c r="K381" t="s">
        <v>22</v>
      </c>
    </row>
    <row r="382" spans="1:11" x14ac:dyDescent="0.3">
      <c r="A382">
        <v>1381</v>
      </c>
      <c r="B382" t="s">
        <v>114</v>
      </c>
      <c r="C382" t="s">
        <v>12</v>
      </c>
      <c r="D382">
        <v>45</v>
      </c>
      <c r="E382" t="s">
        <v>19</v>
      </c>
      <c r="F382" t="s">
        <v>20</v>
      </c>
      <c r="G382" s="3">
        <v>118836</v>
      </c>
      <c r="H382">
        <v>14</v>
      </c>
      <c r="I382" s="1">
        <v>43521</v>
      </c>
      <c r="J382" t="s">
        <v>21</v>
      </c>
      <c r="K382" t="s">
        <v>16</v>
      </c>
    </row>
    <row r="383" spans="1:11" x14ac:dyDescent="0.3">
      <c r="A383">
        <v>1382</v>
      </c>
      <c r="B383" t="s">
        <v>130</v>
      </c>
      <c r="C383" t="s">
        <v>12</v>
      </c>
      <c r="D383">
        <v>55</v>
      </c>
      <c r="E383" t="s">
        <v>51</v>
      </c>
      <c r="F383" t="s">
        <v>52</v>
      </c>
      <c r="G383" s="3">
        <v>74006</v>
      </c>
      <c r="H383">
        <v>22</v>
      </c>
      <c r="I383" s="1">
        <v>43471</v>
      </c>
      <c r="J383" t="s">
        <v>42</v>
      </c>
      <c r="K383" t="s">
        <v>16</v>
      </c>
    </row>
    <row r="384" spans="1:11" x14ac:dyDescent="0.3">
      <c r="A384">
        <v>1383</v>
      </c>
      <c r="B384" t="s">
        <v>17</v>
      </c>
      <c r="C384" t="s">
        <v>12</v>
      </c>
      <c r="D384">
        <v>34</v>
      </c>
      <c r="E384" t="s">
        <v>13</v>
      </c>
      <c r="F384" t="s">
        <v>14</v>
      </c>
      <c r="G384" s="3">
        <v>49581</v>
      </c>
      <c r="H384">
        <v>3</v>
      </c>
      <c r="I384" s="1">
        <v>45397</v>
      </c>
      <c r="J384" t="s">
        <v>29</v>
      </c>
      <c r="K384" t="s">
        <v>16</v>
      </c>
    </row>
    <row r="385" spans="1:11" x14ac:dyDescent="0.3">
      <c r="A385">
        <v>1384</v>
      </c>
      <c r="B385" t="s">
        <v>34</v>
      </c>
      <c r="C385" t="s">
        <v>12</v>
      </c>
      <c r="D385">
        <v>24</v>
      </c>
      <c r="E385" t="s">
        <v>13</v>
      </c>
      <c r="F385" t="s">
        <v>14</v>
      </c>
      <c r="G385" s="3">
        <v>108000</v>
      </c>
      <c r="H385">
        <v>26</v>
      </c>
      <c r="I385" s="1">
        <v>43692</v>
      </c>
      <c r="J385" t="s">
        <v>21</v>
      </c>
      <c r="K385" t="s">
        <v>16</v>
      </c>
    </row>
    <row r="386" spans="1:11" x14ac:dyDescent="0.3">
      <c r="A386">
        <v>1385</v>
      </c>
      <c r="B386" t="s">
        <v>81</v>
      </c>
      <c r="C386" t="s">
        <v>18</v>
      </c>
      <c r="D386">
        <v>49</v>
      </c>
      <c r="E386" t="s">
        <v>45</v>
      </c>
      <c r="F386" t="s">
        <v>46</v>
      </c>
      <c r="G386" s="3">
        <v>101692</v>
      </c>
      <c r="H386">
        <v>15</v>
      </c>
      <c r="I386" s="1">
        <v>44184</v>
      </c>
      <c r="J386" t="s">
        <v>26</v>
      </c>
      <c r="K386" t="s">
        <v>16</v>
      </c>
    </row>
    <row r="387" spans="1:11" x14ac:dyDescent="0.3">
      <c r="A387">
        <v>1386</v>
      </c>
      <c r="B387" t="s">
        <v>86</v>
      </c>
      <c r="C387" t="s">
        <v>12</v>
      </c>
      <c r="D387">
        <v>54</v>
      </c>
      <c r="E387" t="s">
        <v>51</v>
      </c>
      <c r="F387" t="s">
        <v>52</v>
      </c>
      <c r="G387" s="3">
        <v>75418</v>
      </c>
      <c r="H387">
        <v>13</v>
      </c>
      <c r="I387" s="1">
        <v>44329</v>
      </c>
      <c r="J387" t="s">
        <v>31</v>
      </c>
      <c r="K387" t="s">
        <v>22</v>
      </c>
    </row>
    <row r="388" spans="1:11" x14ac:dyDescent="0.3">
      <c r="A388">
        <v>1387</v>
      </c>
      <c r="B388" t="s">
        <v>105</v>
      </c>
      <c r="C388" t="s">
        <v>12</v>
      </c>
      <c r="D388">
        <v>54</v>
      </c>
      <c r="E388" t="s">
        <v>45</v>
      </c>
      <c r="F388" t="s">
        <v>46</v>
      </c>
      <c r="G388" s="3">
        <v>64179</v>
      </c>
      <c r="H388">
        <v>26</v>
      </c>
      <c r="I388" s="1">
        <v>45284</v>
      </c>
      <c r="J388" t="s">
        <v>15</v>
      </c>
      <c r="K388" t="s">
        <v>16</v>
      </c>
    </row>
    <row r="389" spans="1:11" x14ac:dyDescent="0.3">
      <c r="A389">
        <v>1388</v>
      </c>
      <c r="B389" t="s">
        <v>98</v>
      </c>
      <c r="C389" t="s">
        <v>12</v>
      </c>
      <c r="D389">
        <v>44</v>
      </c>
      <c r="E389" t="s">
        <v>24</v>
      </c>
      <c r="F389" t="s">
        <v>25</v>
      </c>
      <c r="G389" s="3">
        <v>113129</v>
      </c>
      <c r="H389">
        <v>4</v>
      </c>
      <c r="I389" s="1">
        <v>44092</v>
      </c>
      <c r="J389" t="s">
        <v>21</v>
      </c>
      <c r="K389" t="s">
        <v>22</v>
      </c>
    </row>
    <row r="390" spans="1:11" x14ac:dyDescent="0.3">
      <c r="A390">
        <v>1389</v>
      </c>
      <c r="B390" t="s">
        <v>63</v>
      </c>
      <c r="C390" t="s">
        <v>12</v>
      </c>
      <c r="D390">
        <v>48</v>
      </c>
      <c r="E390" t="s">
        <v>13</v>
      </c>
      <c r="F390" t="s">
        <v>14</v>
      </c>
      <c r="G390" s="3">
        <v>113374</v>
      </c>
      <c r="H390">
        <v>23</v>
      </c>
      <c r="I390" s="1">
        <v>44768</v>
      </c>
      <c r="J390" t="s">
        <v>37</v>
      </c>
      <c r="K390" t="s">
        <v>16</v>
      </c>
    </row>
    <row r="391" spans="1:11" x14ac:dyDescent="0.3">
      <c r="A391">
        <v>1390</v>
      </c>
      <c r="B391" t="s">
        <v>131</v>
      </c>
      <c r="C391" t="s">
        <v>18</v>
      </c>
      <c r="D391">
        <v>25</v>
      </c>
      <c r="E391" t="s">
        <v>51</v>
      </c>
      <c r="F391" t="s">
        <v>52</v>
      </c>
      <c r="G391" s="3">
        <v>51201</v>
      </c>
      <c r="H391">
        <v>8</v>
      </c>
      <c r="I391" s="1">
        <v>43973</v>
      </c>
      <c r="J391" t="s">
        <v>31</v>
      </c>
      <c r="K391" t="s">
        <v>16</v>
      </c>
    </row>
    <row r="392" spans="1:11" x14ac:dyDescent="0.3">
      <c r="A392">
        <v>1391</v>
      </c>
      <c r="B392" t="s">
        <v>122</v>
      </c>
      <c r="C392" t="s">
        <v>18</v>
      </c>
      <c r="D392">
        <v>44</v>
      </c>
      <c r="E392" t="s">
        <v>51</v>
      </c>
      <c r="F392" t="s">
        <v>52</v>
      </c>
      <c r="G392" s="3">
        <v>84322</v>
      </c>
      <c r="H392">
        <v>3</v>
      </c>
      <c r="I392" s="1">
        <v>44551</v>
      </c>
      <c r="J392" t="s">
        <v>15</v>
      </c>
      <c r="K392" t="s">
        <v>22</v>
      </c>
    </row>
    <row r="393" spans="1:11" x14ac:dyDescent="0.3">
      <c r="A393">
        <v>1392</v>
      </c>
      <c r="B393" t="s">
        <v>78</v>
      </c>
      <c r="C393" t="s">
        <v>18</v>
      </c>
      <c r="D393">
        <v>46</v>
      </c>
      <c r="E393" t="s">
        <v>24</v>
      </c>
      <c r="F393" t="s">
        <v>25</v>
      </c>
      <c r="G393" s="3">
        <v>75797</v>
      </c>
      <c r="H393">
        <v>13</v>
      </c>
      <c r="I393" s="1">
        <v>45171</v>
      </c>
      <c r="J393" t="s">
        <v>37</v>
      </c>
      <c r="K393" t="s">
        <v>22</v>
      </c>
    </row>
    <row r="394" spans="1:11" x14ac:dyDescent="0.3">
      <c r="A394">
        <v>1393</v>
      </c>
      <c r="B394" t="s">
        <v>106</v>
      </c>
      <c r="C394" t="s">
        <v>18</v>
      </c>
      <c r="D394">
        <v>45</v>
      </c>
      <c r="E394" t="s">
        <v>24</v>
      </c>
      <c r="F394" t="s">
        <v>25</v>
      </c>
      <c r="G394" s="3">
        <v>102120</v>
      </c>
      <c r="H394">
        <v>17</v>
      </c>
      <c r="I394" s="1">
        <v>44537</v>
      </c>
      <c r="J394" t="s">
        <v>31</v>
      </c>
      <c r="K394" t="s">
        <v>22</v>
      </c>
    </row>
    <row r="395" spans="1:11" x14ac:dyDescent="0.3">
      <c r="A395">
        <v>1394</v>
      </c>
      <c r="B395" t="s">
        <v>109</v>
      </c>
      <c r="C395" t="s">
        <v>18</v>
      </c>
      <c r="D395">
        <v>54</v>
      </c>
      <c r="E395" t="s">
        <v>24</v>
      </c>
      <c r="F395" t="s">
        <v>25</v>
      </c>
      <c r="G395" s="3">
        <v>40643</v>
      </c>
      <c r="H395">
        <v>12</v>
      </c>
      <c r="I395" s="1">
        <v>43290</v>
      </c>
      <c r="J395" t="s">
        <v>15</v>
      </c>
      <c r="K395" t="s">
        <v>22</v>
      </c>
    </row>
    <row r="396" spans="1:11" x14ac:dyDescent="0.3">
      <c r="A396">
        <v>1395</v>
      </c>
      <c r="B396" t="s">
        <v>33</v>
      </c>
      <c r="C396" t="s">
        <v>12</v>
      </c>
      <c r="D396">
        <v>22</v>
      </c>
      <c r="E396" t="s">
        <v>24</v>
      </c>
      <c r="F396" t="s">
        <v>25</v>
      </c>
      <c r="G396" s="3">
        <v>68327</v>
      </c>
      <c r="H396">
        <v>14</v>
      </c>
      <c r="I396" s="1">
        <v>43835</v>
      </c>
      <c r="J396" t="s">
        <v>31</v>
      </c>
      <c r="K396" t="s">
        <v>16</v>
      </c>
    </row>
    <row r="397" spans="1:11" x14ac:dyDescent="0.3">
      <c r="A397">
        <v>1396</v>
      </c>
      <c r="B397" t="s">
        <v>95</v>
      </c>
      <c r="C397" t="s">
        <v>12</v>
      </c>
      <c r="D397">
        <v>44</v>
      </c>
      <c r="E397" t="s">
        <v>13</v>
      </c>
      <c r="F397" t="s">
        <v>14</v>
      </c>
      <c r="G397" s="3">
        <v>34552</v>
      </c>
      <c r="H397">
        <v>25</v>
      </c>
      <c r="I397" s="1">
        <v>45177</v>
      </c>
      <c r="J397" t="s">
        <v>26</v>
      </c>
      <c r="K397" t="s">
        <v>16</v>
      </c>
    </row>
    <row r="398" spans="1:11" x14ac:dyDescent="0.3">
      <c r="A398">
        <v>1397</v>
      </c>
      <c r="B398" t="s">
        <v>38</v>
      </c>
      <c r="C398" t="s">
        <v>12</v>
      </c>
      <c r="D398">
        <v>27</v>
      </c>
      <c r="E398" t="s">
        <v>19</v>
      </c>
      <c r="F398" t="s">
        <v>20</v>
      </c>
      <c r="G398" s="3">
        <v>70796</v>
      </c>
      <c r="H398">
        <v>7</v>
      </c>
      <c r="I398" s="1">
        <v>44511</v>
      </c>
      <c r="J398" t="s">
        <v>31</v>
      </c>
      <c r="K398" t="s">
        <v>22</v>
      </c>
    </row>
    <row r="399" spans="1:11" x14ac:dyDescent="0.3">
      <c r="A399">
        <v>1398</v>
      </c>
      <c r="B399" t="s">
        <v>98</v>
      </c>
      <c r="C399" t="s">
        <v>12</v>
      </c>
      <c r="D399">
        <v>22</v>
      </c>
      <c r="E399" t="s">
        <v>27</v>
      </c>
      <c r="F399" t="s">
        <v>28</v>
      </c>
      <c r="G399" s="3">
        <v>40036</v>
      </c>
      <c r="H399">
        <v>21</v>
      </c>
      <c r="I399" s="1">
        <v>45146</v>
      </c>
      <c r="J399" t="s">
        <v>21</v>
      </c>
      <c r="K399" t="s">
        <v>16</v>
      </c>
    </row>
    <row r="400" spans="1:11" x14ac:dyDescent="0.3">
      <c r="A400">
        <v>1399</v>
      </c>
      <c r="B400" t="s">
        <v>64</v>
      </c>
      <c r="C400" t="s">
        <v>18</v>
      </c>
      <c r="D400">
        <v>46</v>
      </c>
      <c r="E400" t="s">
        <v>51</v>
      </c>
      <c r="F400" t="s">
        <v>52</v>
      </c>
      <c r="G400" s="3">
        <v>58631</v>
      </c>
      <c r="H400">
        <v>17</v>
      </c>
      <c r="I400" s="1">
        <v>44578</v>
      </c>
      <c r="J400" t="s">
        <v>29</v>
      </c>
      <c r="K400" t="s">
        <v>22</v>
      </c>
    </row>
    <row r="401" spans="1:11" x14ac:dyDescent="0.3">
      <c r="A401">
        <v>1400</v>
      </c>
      <c r="B401" t="s">
        <v>44</v>
      </c>
      <c r="C401" t="s">
        <v>12</v>
      </c>
      <c r="D401">
        <v>24</v>
      </c>
      <c r="E401" t="s">
        <v>19</v>
      </c>
      <c r="F401" t="s">
        <v>20</v>
      </c>
      <c r="G401" s="3">
        <v>63854</v>
      </c>
      <c r="H401">
        <v>28</v>
      </c>
      <c r="I401" s="1">
        <v>44364</v>
      </c>
      <c r="J401" t="s">
        <v>37</v>
      </c>
      <c r="K401" t="s">
        <v>16</v>
      </c>
    </row>
    <row r="402" spans="1:11" x14ac:dyDescent="0.3">
      <c r="A402">
        <v>1401</v>
      </c>
      <c r="B402" t="s">
        <v>119</v>
      </c>
      <c r="C402" t="s">
        <v>18</v>
      </c>
      <c r="D402">
        <v>26</v>
      </c>
      <c r="E402" t="s">
        <v>24</v>
      </c>
      <c r="F402" t="s">
        <v>25</v>
      </c>
      <c r="G402" s="3">
        <v>52627</v>
      </c>
      <c r="H402">
        <v>21</v>
      </c>
      <c r="I402" s="1">
        <v>44514</v>
      </c>
      <c r="J402" t="s">
        <v>29</v>
      </c>
      <c r="K402" t="s">
        <v>16</v>
      </c>
    </row>
    <row r="403" spans="1:11" x14ac:dyDescent="0.3">
      <c r="A403">
        <v>1402</v>
      </c>
      <c r="B403" t="s">
        <v>92</v>
      </c>
      <c r="C403" t="s">
        <v>18</v>
      </c>
      <c r="D403">
        <v>31</v>
      </c>
      <c r="E403" t="s">
        <v>24</v>
      </c>
      <c r="F403" t="s">
        <v>25</v>
      </c>
      <c r="G403" s="3">
        <v>28113</v>
      </c>
      <c r="H403">
        <v>14</v>
      </c>
      <c r="I403" s="1">
        <v>44929</v>
      </c>
      <c r="J403" t="s">
        <v>37</v>
      </c>
      <c r="K403" t="s">
        <v>16</v>
      </c>
    </row>
    <row r="404" spans="1:11" x14ac:dyDescent="0.3">
      <c r="A404">
        <v>1403</v>
      </c>
      <c r="B404" t="s">
        <v>84</v>
      </c>
      <c r="C404" t="s">
        <v>18</v>
      </c>
      <c r="D404">
        <v>36</v>
      </c>
      <c r="E404" t="s">
        <v>24</v>
      </c>
      <c r="F404" t="s">
        <v>25</v>
      </c>
      <c r="G404" s="3">
        <v>58901</v>
      </c>
      <c r="H404">
        <v>13</v>
      </c>
      <c r="I404" s="1">
        <v>45525</v>
      </c>
      <c r="J404" t="s">
        <v>42</v>
      </c>
      <c r="K404" t="s">
        <v>22</v>
      </c>
    </row>
    <row r="405" spans="1:11" x14ac:dyDescent="0.3">
      <c r="A405">
        <v>1404</v>
      </c>
      <c r="B405" t="s">
        <v>129</v>
      </c>
      <c r="C405" t="s">
        <v>18</v>
      </c>
      <c r="D405">
        <v>22</v>
      </c>
      <c r="E405" t="s">
        <v>27</v>
      </c>
      <c r="F405" t="s">
        <v>28</v>
      </c>
      <c r="G405" s="3">
        <v>109072</v>
      </c>
      <c r="H405">
        <v>23</v>
      </c>
      <c r="I405" s="1">
        <v>43818</v>
      </c>
      <c r="J405" t="s">
        <v>37</v>
      </c>
      <c r="K405" t="s">
        <v>16</v>
      </c>
    </row>
    <row r="406" spans="1:11" x14ac:dyDescent="0.3">
      <c r="A406">
        <v>1405</v>
      </c>
      <c r="B406" t="s">
        <v>40</v>
      </c>
      <c r="C406" t="s">
        <v>12</v>
      </c>
      <c r="D406">
        <v>41</v>
      </c>
      <c r="E406" t="s">
        <v>27</v>
      </c>
      <c r="F406" t="s">
        <v>28</v>
      </c>
      <c r="G406" s="3">
        <v>104503</v>
      </c>
      <c r="H406">
        <v>2</v>
      </c>
      <c r="I406" s="1">
        <v>44786</v>
      </c>
      <c r="J406" t="s">
        <v>42</v>
      </c>
      <c r="K406" t="s">
        <v>16</v>
      </c>
    </row>
    <row r="407" spans="1:11" x14ac:dyDescent="0.3">
      <c r="A407">
        <v>1406</v>
      </c>
      <c r="B407" t="s">
        <v>33</v>
      </c>
      <c r="C407" t="s">
        <v>18</v>
      </c>
      <c r="D407">
        <v>30</v>
      </c>
      <c r="E407" t="s">
        <v>45</v>
      </c>
      <c r="F407" t="s">
        <v>46</v>
      </c>
      <c r="G407" s="3">
        <v>76248</v>
      </c>
      <c r="H407">
        <v>25</v>
      </c>
      <c r="I407" s="1">
        <v>44870</v>
      </c>
      <c r="J407" t="s">
        <v>31</v>
      </c>
      <c r="K407" t="s">
        <v>22</v>
      </c>
    </row>
    <row r="408" spans="1:11" x14ac:dyDescent="0.3">
      <c r="A408">
        <v>1407</v>
      </c>
      <c r="B408" t="s">
        <v>119</v>
      </c>
      <c r="C408" t="s">
        <v>18</v>
      </c>
      <c r="D408">
        <v>29</v>
      </c>
      <c r="E408" t="s">
        <v>51</v>
      </c>
      <c r="F408" t="s">
        <v>52</v>
      </c>
      <c r="G408" s="3">
        <v>30475</v>
      </c>
      <c r="H408">
        <v>0</v>
      </c>
      <c r="I408" s="1">
        <v>45553</v>
      </c>
      <c r="J408" t="s">
        <v>37</v>
      </c>
      <c r="K408" t="s">
        <v>22</v>
      </c>
    </row>
    <row r="409" spans="1:11" x14ac:dyDescent="0.3">
      <c r="A409">
        <v>1408</v>
      </c>
      <c r="B409" t="s">
        <v>32</v>
      </c>
      <c r="C409" t="s">
        <v>12</v>
      </c>
      <c r="D409">
        <v>54</v>
      </c>
      <c r="E409" t="s">
        <v>24</v>
      </c>
      <c r="F409" t="s">
        <v>25</v>
      </c>
      <c r="G409" s="3">
        <v>43671</v>
      </c>
      <c r="H409">
        <v>5</v>
      </c>
      <c r="I409" s="1">
        <v>43941</v>
      </c>
      <c r="J409" t="s">
        <v>29</v>
      </c>
      <c r="K409" t="s">
        <v>22</v>
      </c>
    </row>
    <row r="410" spans="1:11" x14ac:dyDescent="0.3">
      <c r="A410">
        <v>1409</v>
      </c>
      <c r="B410" t="s">
        <v>88</v>
      </c>
      <c r="C410" t="s">
        <v>18</v>
      </c>
      <c r="D410">
        <v>51</v>
      </c>
      <c r="E410" t="s">
        <v>24</v>
      </c>
      <c r="F410" t="s">
        <v>25</v>
      </c>
      <c r="G410" s="3">
        <v>109498</v>
      </c>
      <c r="H410">
        <v>17</v>
      </c>
      <c r="I410" s="1">
        <v>43607</v>
      </c>
      <c r="J410" t="s">
        <v>37</v>
      </c>
      <c r="K410" t="s">
        <v>22</v>
      </c>
    </row>
    <row r="411" spans="1:11" x14ac:dyDescent="0.3">
      <c r="A411">
        <v>1410</v>
      </c>
      <c r="B411" t="s">
        <v>98</v>
      </c>
      <c r="C411" t="s">
        <v>12</v>
      </c>
      <c r="D411">
        <v>43</v>
      </c>
      <c r="E411" t="s">
        <v>51</v>
      </c>
      <c r="F411" t="s">
        <v>52</v>
      </c>
      <c r="G411" s="3">
        <v>71810</v>
      </c>
      <c r="H411">
        <v>4</v>
      </c>
      <c r="I411" s="1">
        <v>44237</v>
      </c>
      <c r="J411" t="s">
        <v>15</v>
      </c>
      <c r="K411" t="s">
        <v>16</v>
      </c>
    </row>
    <row r="412" spans="1:11" x14ac:dyDescent="0.3">
      <c r="A412">
        <v>1411</v>
      </c>
      <c r="B412" t="s">
        <v>64</v>
      </c>
      <c r="C412" t="s">
        <v>12</v>
      </c>
      <c r="D412">
        <v>43</v>
      </c>
      <c r="E412" t="s">
        <v>24</v>
      </c>
      <c r="F412" t="s">
        <v>25</v>
      </c>
      <c r="G412" s="3">
        <v>105785</v>
      </c>
      <c r="H412">
        <v>21</v>
      </c>
      <c r="I412" s="1">
        <v>44914</v>
      </c>
      <c r="J412" t="s">
        <v>26</v>
      </c>
      <c r="K412" t="s">
        <v>22</v>
      </c>
    </row>
    <row r="413" spans="1:11" x14ac:dyDescent="0.3">
      <c r="A413">
        <v>1412</v>
      </c>
      <c r="B413" t="s">
        <v>72</v>
      </c>
      <c r="C413" t="s">
        <v>18</v>
      </c>
      <c r="D413">
        <v>42</v>
      </c>
      <c r="E413" t="s">
        <v>27</v>
      </c>
      <c r="F413" t="s">
        <v>28</v>
      </c>
      <c r="G413" s="3">
        <v>57266</v>
      </c>
      <c r="H413">
        <v>25</v>
      </c>
      <c r="I413" s="1">
        <v>44554</v>
      </c>
      <c r="J413" t="s">
        <v>21</v>
      </c>
      <c r="K413" t="s">
        <v>22</v>
      </c>
    </row>
    <row r="414" spans="1:11" x14ac:dyDescent="0.3">
      <c r="A414">
        <v>1413</v>
      </c>
      <c r="B414" t="s">
        <v>32</v>
      </c>
      <c r="C414" t="s">
        <v>12</v>
      </c>
      <c r="D414">
        <v>52</v>
      </c>
      <c r="E414" t="s">
        <v>27</v>
      </c>
      <c r="F414" t="s">
        <v>28</v>
      </c>
      <c r="G414" s="3">
        <v>85666</v>
      </c>
      <c r="H414">
        <v>14</v>
      </c>
      <c r="I414" s="1">
        <v>45062</v>
      </c>
      <c r="J414" t="s">
        <v>15</v>
      </c>
      <c r="K414" t="s">
        <v>16</v>
      </c>
    </row>
    <row r="415" spans="1:11" x14ac:dyDescent="0.3">
      <c r="A415">
        <v>1414</v>
      </c>
      <c r="B415" t="s">
        <v>55</v>
      </c>
      <c r="C415" t="s">
        <v>12</v>
      </c>
      <c r="D415">
        <v>30</v>
      </c>
      <c r="E415" t="s">
        <v>24</v>
      </c>
      <c r="F415" t="s">
        <v>25</v>
      </c>
      <c r="G415" s="3">
        <v>95597</v>
      </c>
      <c r="H415">
        <v>6</v>
      </c>
      <c r="I415" s="1">
        <v>44916</v>
      </c>
      <c r="J415" t="s">
        <v>37</v>
      </c>
      <c r="K415" t="s">
        <v>16</v>
      </c>
    </row>
    <row r="416" spans="1:11" x14ac:dyDescent="0.3">
      <c r="A416">
        <v>1415</v>
      </c>
      <c r="B416" t="s">
        <v>40</v>
      </c>
      <c r="C416" t="s">
        <v>12</v>
      </c>
      <c r="D416">
        <v>35</v>
      </c>
      <c r="E416" t="s">
        <v>51</v>
      </c>
      <c r="F416" t="s">
        <v>52</v>
      </c>
      <c r="G416" s="3">
        <v>29804</v>
      </c>
      <c r="H416">
        <v>17</v>
      </c>
      <c r="I416" s="1">
        <v>44822</v>
      </c>
      <c r="J416" t="s">
        <v>42</v>
      </c>
      <c r="K416" t="s">
        <v>16</v>
      </c>
    </row>
    <row r="417" spans="1:11" x14ac:dyDescent="0.3">
      <c r="A417">
        <v>1416</v>
      </c>
      <c r="B417" t="s">
        <v>131</v>
      </c>
      <c r="C417" t="s">
        <v>12</v>
      </c>
      <c r="D417">
        <v>30</v>
      </c>
      <c r="E417" t="s">
        <v>27</v>
      </c>
      <c r="F417" t="s">
        <v>28</v>
      </c>
      <c r="G417" s="3">
        <v>85909</v>
      </c>
      <c r="H417">
        <v>16</v>
      </c>
      <c r="I417" s="1">
        <v>43658</v>
      </c>
      <c r="J417" t="s">
        <v>15</v>
      </c>
      <c r="K417" t="s">
        <v>16</v>
      </c>
    </row>
    <row r="418" spans="1:11" x14ac:dyDescent="0.3">
      <c r="A418">
        <v>1417</v>
      </c>
      <c r="B418" t="s">
        <v>128</v>
      </c>
      <c r="C418" t="s">
        <v>18</v>
      </c>
      <c r="D418">
        <v>54</v>
      </c>
      <c r="E418" t="s">
        <v>13</v>
      </c>
      <c r="F418" t="s">
        <v>14</v>
      </c>
      <c r="G418" s="3">
        <v>43398</v>
      </c>
      <c r="H418">
        <v>14</v>
      </c>
      <c r="I418" s="1">
        <v>43909</v>
      </c>
      <c r="J418" t="s">
        <v>15</v>
      </c>
      <c r="K418" t="s">
        <v>16</v>
      </c>
    </row>
    <row r="419" spans="1:11" x14ac:dyDescent="0.3">
      <c r="A419">
        <v>1418</v>
      </c>
      <c r="B419" t="s">
        <v>132</v>
      </c>
      <c r="C419" t="s">
        <v>18</v>
      </c>
      <c r="D419">
        <v>36</v>
      </c>
      <c r="E419" t="s">
        <v>13</v>
      </c>
      <c r="F419" t="s">
        <v>14</v>
      </c>
      <c r="G419" s="3">
        <v>88916</v>
      </c>
      <c r="H419">
        <v>7</v>
      </c>
      <c r="I419" s="1">
        <v>43597</v>
      </c>
      <c r="J419" t="s">
        <v>26</v>
      </c>
      <c r="K419" t="s">
        <v>16</v>
      </c>
    </row>
    <row r="420" spans="1:11" x14ac:dyDescent="0.3">
      <c r="A420">
        <v>1419</v>
      </c>
      <c r="B420" t="s">
        <v>98</v>
      </c>
      <c r="C420" t="s">
        <v>12</v>
      </c>
      <c r="D420">
        <v>46</v>
      </c>
      <c r="E420" t="s">
        <v>13</v>
      </c>
      <c r="F420" t="s">
        <v>14</v>
      </c>
      <c r="G420" s="3">
        <v>86561</v>
      </c>
      <c r="H420">
        <v>29</v>
      </c>
      <c r="I420" s="1">
        <v>45659</v>
      </c>
      <c r="J420" t="s">
        <v>21</v>
      </c>
      <c r="K420" t="s">
        <v>22</v>
      </c>
    </row>
    <row r="421" spans="1:11" x14ac:dyDescent="0.3">
      <c r="A421">
        <v>1420</v>
      </c>
      <c r="B421" t="s">
        <v>78</v>
      </c>
      <c r="C421" t="s">
        <v>12</v>
      </c>
      <c r="D421">
        <v>33</v>
      </c>
      <c r="E421" t="s">
        <v>51</v>
      </c>
      <c r="F421" t="s">
        <v>52</v>
      </c>
      <c r="G421" s="3">
        <v>74369</v>
      </c>
      <c r="H421">
        <v>20</v>
      </c>
      <c r="I421" s="1">
        <v>45462</v>
      </c>
      <c r="J421" t="s">
        <v>21</v>
      </c>
      <c r="K421" t="s">
        <v>16</v>
      </c>
    </row>
    <row r="422" spans="1:11" x14ac:dyDescent="0.3">
      <c r="A422">
        <v>1421</v>
      </c>
      <c r="B422" t="s">
        <v>121</v>
      </c>
      <c r="C422" t="s">
        <v>18</v>
      </c>
      <c r="D422">
        <v>55</v>
      </c>
      <c r="E422" t="s">
        <v>19</v>
      </c>
      <c r="F422" t="s">
        <v>20</v>
      </c>
      <c r="G422" s="3">
        <v>78194</v>
      </c>
      <c r="H422">
        <v>11</v>
      </c>
      <c r="I422" s="1">
        <v>45164</v>
      </c>
      <c r="J422" t="s">
        <v>42</v>
      </c>
      <c r="K422" t="s">
        <v>16</v>
      </c>
    </row>
    <row r="423" spans="1:11" x14ac:dyDescent="0.3">
      <c r="A423">
        <v>1422</v>
      </c>
      <c r="B423" t="s">
        <v>116</v>
      </c>
      <c r="C423" t="s">
        <v>18</v>
      </c>
      <c r="D423">
        <v>36</v>
      </c>
      <c r="E423" t="s">
        <v>19</v>
      </c>
      <c r="F423" t="s">
        <v>20</v>
      </c>
      <c r="G423" s="3">
        <v>35104</v>
      </c>
      <c r="H423">
        <v>16</v>
      </c>
      <c r="I423" s="1">
        <v>44656</v>
      </c>
      <c r="J423" t="s">
        <v>26</v>
      </c>
      <c r="K423" t="s">
        <v>16</v>
      </c>
    </row>
    <row r="424" spans="1:11" x14ac:dyDescent="0.3">
      <c r="A424">
        <v>1423</v>
      </c>
      <c r="B424" t="s">
        <v>55</v>
      </c>
      <c r="C424" t="s">
        <v>18</v>
      </c>
      <c r="D424">
        <v>48</v>
      </c>
      <c r="E424" t="s">
        <v>27</v>
      </c>
      <c r="F424" t="s">
        <v>28</v>
      </c>
      <c r="G424" s="3">
        <v>68283</v>
      </c>
      <c r="H424">
        <v>23</v>
      </c>
      <c r="I424" s="1">
        <v>43699</v>
      </c>
      <c r="J424" t="s">
        <v>42</v>
      </c>
      <c r="K424" t="s">
        <v>22</v>
      </c>
    </row>
    <row r="425" spans="1:11" x14ac:dyDescent="0.3">
      <c r="A425">
        <v>1424</v>
      </c>
      <c r="B425" t="s">
        <v>68</v>
      </c>
      <c r="C425" t="s">
        <v>12</v>
      </c>
      <c r="D425">
        <v>23</v>
      </c>
      <c r="E425" t="s">
        <v>24</v>
      </c>
      <c r="F425" t="s">
        <v>25</v>
      </c>
      <c r="G425" s="3">
        <v>56938</v>
      </c>
      <c r="H425">
        <v>1</v>
      </c>
      <c r="I425" s="1">
        <v>44123</v>
      </c>
      <c r="J425" t="s">
        <v>26</v>
      </c>
      <c r="K425" t="s">
        <v>16</v>
      </c>
    </row>
    <row r="426" spans="1:11" x14ac:dyDescent="0.3">
      <c r="A426">
        <v>1425</v>
      </c>
      <c r="B426" t="s">
        <v>40</v>
      </c>
      <c r="C426" t="s">
        <v>18</v>
      </c>
      <c r="D426">
        <v>25</v>
      </c>
      <c r="E426" t="s">
        <v>13</v>
      </c>
      <c r="F426" t="s">
        <v>14</v>
      </c>
      <c r="G426" s="3">
        <v>46802</v>
      </c>
      <c r="H426">
        <v>8</v>
      </c>
      <c r="I426" s="1">
        <v>44087</v>
      </c>
      <c r="J426" t="s">
        <v>15</v>
      </c>
      <c r="K426" t="s">
        <v>16</v>
      </c>
    </row>
    <row r="427" spans="1:11" x14ac:dyDescent="0.3">
      <c r="A427">
        <v>1426</v>
      </c>
      <c r="B427" t="s">
        <v>80</v>
      </c>
      <c r="C427" t="s">
        <v>18</v>
      </c>
      <c r="D427">
        <v>50</v>
      </c>
      <c r="E427" t="s">
        <v>13</v>
      </c>
      <c r="F427" t="s">
        <v>14</v>
      </c>
      <c r="G427" s="3">
        <v>104498</v>
      </c>
      <c r="H427">
        <v>15</v>
      </c>
      <c r="I427" s="1">
        <v>45724</v>
      </c>
      <c r="J427" t="s">
        <v>29</v>
      </c>
      <c r="K427" t="s">
        <v>22</v>
      </c>
    </row>
    <row r="428" spans="1:11" x14ac:dyDescent="0.3">
      <c r="A428">
        <v>1427</v>
      </c>
      <c r="B428" t="s">
        <v>96</v>
      </c>
      <c r="C428" t="s">
        <v>18</v>
      </c>
      <c r="D428">
        <v>54</v>
      </c>
      <c r="E428" t="s">
        <v>19</v>
      </c>
      <c r="F428" t="s">
        <v>20</v>
      </c>
      <c r="G428" s="3">
        <v>59671</v>
      </c>
      <c r="H428">
        <v>5</v>
      </c>
      <c r="I428" s="1">
        <v>45158</v>
      </c>
      <c r="J428" t="s">
        <v>15</v>
      </c>
      <c r="K428" t="s">
        <v>16</v>
      </c>
    </row>
    <row r="429" spans="1:11" x14ac:dyDescent="0.3">
      <c r="A429">
        <v>1428</v>
      </c>
      <c r="B429" t="s">
        <v>75</v>
      </c>
      <c r="C429" t="s">
        <v>18</v>
      </c>
      <c r="D429">
        <v>28</v>
      </c>
      <c r="E429" t="s">
        <v>24</v>
      </c>
      <c r="F429" t="s">
        <v>25</v>
      </c>
      <c r="G429" s="3">
        <v>27170</v>
      </c>
      <c r="H429">
        <v>6</v>
      </c>
      <c r="I429" s="1">
        <v>45371</v>
      </c>
      <c r="J429" t="s">
        <v>37</v>
      </c>
      <c r="K429" t="s">
        <v>16</v>
      </c>
    </row>
    <row r="430" spans="1:11" x14ac:dyDescent="0.3">
      <c r="A430">
        <v>1429</v>
      </c>
      <c r="B430" t="s">
        <v>114</v>
      </c>
      <c r="C430" t="s">
        <v>18</v>
      </c>
      <c r="D430">
        <v>54</v>
      </c>
      <c r="E430" t="s">
        <v>45</v>
      </c>
      <c r="F430" t="s">
        <v>46</v>
      </c>
      <c r="G430" s="3">
        <v>40403</v>
      </c>
      <c r="H430">
        <v>2</v>
      </c>
      <c r="I430" s="1">
        <v>45966</v>
      </c>
      <c r="J430" t="s">
        <v>15</v>
      </c>
      <c r="K430" t="s">
        <v>16</v>
      </c>
    </row>
    <row r="431" spans="1:11" x14ac:dyDescent="0.3">
      <c r="A431">
        <v>1430</v>
      </c>
      <c r="B431" t="s">
        <v>61</v>
      </c>
      <c r="C431" t="s">
        <v>12</v>
      </c>
      <c r="D431">
        <v>45</v>
      </c>
      <c r="E431" t="s">
        <v>13</v>
      </c>
      <c r="F431" t="s">
        <v>14</v>
      </c>
      <c r="G431" s="3">
        <v>30693</v>
      </c>
      <c r="H431">
        <v>22</v>
      </c>
      <c r="I431" s="1">
        <v>45408</v>
      </c>
      <c r="J431" t="s">
        <v>42</v>
      </c>
      <c r="K431" t="s">
        <v>22</v>
      </c>
    </row>
    <row r="432" spans="1:11" x14ac:dyDescent="0.3">
      <c r="A432">
        <v>1431</v>
      </c>
      <c r="B432" t="s">
        <v>56</v>
      </c>
      <c r="C432" t="s">
        <v>18</v>
      </c>
      <c r="D432">
        <v>49</v>
      </c>
      <c r="E432" t="s">
        <v>27</v>
      </c>
      <c r="F432" t="s">
        <v>28</v>
      </c>
      <c r="G432" s="3">
        <v>42548</v>
      </c>
      <c r="H432">
        <v>8</v>
      </c>
      <c r="I432" s="1">
        <v>45775</v>
      </c>
      <c r="J432" t="s">
        <v>37</v>
      </c>
      <c r="K432" t="s">
        <v>22</v>
      </c>
    </row>
    <row r="433" spans="1:11" x14ac:dyDescent="0.3">
      <c r="A433">
        <v>1432</v>
      </c>
      <c r="B433" t="s">
        <v>92</v>
      </c>
      <c r="C433" t="s">
        <v>12</v>
      </c>
      <c r="D433">
        <v>34</v>
      </c>
      <c r="E433" t="s">
        <v>19</v>
      </c>
      <c r="F433" t="s">
        <v>20</v>
      </c>
      <c r="G433" s="3">
        <v>25716</v>
      </c>
      <c r="H433">
        <v>22</v>
      </c>
      <c r="I433" s="1">
        <v>43390</v>
      </c>
      <c r="J433" t="s">
        <v>37</v>
      </c>
      <c r="K433" t="s">
        <v>16</v>
      </c>
    </row>
    <row r="434" spans="1:11" x14ac:dyDescent="0.3">
      <c r="A434">
        <v>1433</v>
      </c>
      <c r="B434" t="s">
        <v>117</v>
      </c>
      <c r="C434" t="s">
        <v>12</v>
      </c>
      <c r="D434">
        <v>45</v>
      </c>
      <c r="E434" t="s">
        <v>45</v>
      </c>
      <c r="F434" t="s">
        <v>46</v>
      </c>
      <c r="G434" s="3">
        <v>38970</v>
      </c>
      <c r="H434">
        <v>4</v>
      </c>
      <c r="I434" s="1">
        <v>45615</v>
      </c>
      <c r="J434" t="s">
        <v>31</v>
      </c>
      <c r="K434" t="s">
        <v>22</v>
      </c>
    </row>
    <row r="435" spans="1:11" x14ac:dyDescent="0.3">
      <c r="A435">
        <v>1434</v>
      </c>
      <c r="B435" t="s">
        <v>61</v>
      </c>
      <c r="C435" t="s">
        <v>12</v>
      </c>
      <c r="D435">
        <v>39</v>
      </c>
      <c r="E435" t="s">
        <v>19</v>
      </c>
      <c r="F435" t="s">
        <v>20</v>
      </c>
      <c r="G435" s="3">
        <v>114208</v>
      </c>
      <c r="H435">
        <v>12</v>
      </c>
      <c r="I435" s="1">
        <v>44395</v>
      </c>
      <c r="J435" t="s">
        <v>29</v>
      </c>
      <c r="K435" t="s">
        <v>22</v>
      </c>
    </row>
    <row r="436" spans="1:11" x14ac:dyDescent="0.3">
      <c r="A436">
        <v>1435</v>
      </c>
      <c r="B436" t="s">
        <v>125</v>
      </c>
      <c r="C436" t="s">
        <v>12</v>
      </c>
      <c r="D436">
        <v>38</v>
      </c>
      <c r="E436" t="s">
        <v>24</v>
      </c>
      <c r="F436" t="s">
        <v>25</v>
      </c>
      <c r="G436" s="3">
        <v>65193</v>
      </c>
      <c r="H436">
        <v>18</v>
      </c>
      <c r="I436" s="1">
        <v>45273</v>
      </c>
      <c r="J436" t="s">
        <v>21</v>
      </c>
      <c r="K436" t="s">
        <v>16</v>
      </c>
    </row>
    <row r="437" spans="1:11" x14ac:dyDescent="0.3">
      <c r="A437">
        <v>1436</v>
      </c>
      <c r="B437" t="s">
        <v>88</v>
      </c>
      <c r="C437" t="s">
        <v>12</v>
      </c>
      <c r="D437">
        <v>32</v>
      </c>
      <c r="E437" t="s">
        <v>13</v>
      </c>
      <c r="F437" t="s">
        <v>14</v>
      </c>
      <c r="G437" s="3">
        <v>38143</v>
      </c>
      <c r="H437">
        <v>6</v>
      </c>
      <c r="I437" s="1">
        <v>45469</v>
      </c>
      <c r="J437" t="s">
        <v>15</v>
      </c>
      <c r="K437" t="s">
        <v>16</v>
      </c>
    </row>
    <row r="438" spans="1:11" x14ac:dyDescent="0.3">
      <c r="A438">
        <v>1437</v>
      </c>
      <c r="B438" t="s">
        <v>123</v>
      </c>
      <c r="C438" t="s">
        <v>18</v>
      </c>
      <c r="D438">
        <v>31</v>
      </c>
      <c r="E438" t="s">
        <v>24</v>
      </c>
      <c r="F438" t="s">
        <v>25</v>
      </c>
      <c r="G438" s="3">
        <v>86822</v>
      </c>
      <c r="H438">
        <v>29</v>
      </c>
      <c r="I438" s="1">
        <v>45325</v>
      </c>
      <c r="J438" t="s">
        <v>31</v>
      </c>
      <c r="K438" t="s">
        <v>16</v>
      </c>
    </row>
    <row r="439" spans="1:11" x14ac:dyDescent="0.3">
      <c r="A439">
        <v>1438</v>
      </c>
      <c r="B439" t="s">
        <v>83</v>
      </c>
      <c r="C439" t="s">
        <v>18</v>
      </c>
      <c r="D439">
        <v>46</v>
      </c>
      <c r="E439" t="s">
        <v>27</v>
      </c>
      <c r="F439" t="s">
        <v>28</v>
      </c>
      <c r="G439" s="3">
        <v>77513</v>
      </c>
      <c r="H439">
        <v>19</v>
      </c>
      <c r="I439" s="1">
        <v>44915</v>
      </c>
      <c r="J439" t="s">
        <v>37</v>
      </c>
      <c r="K439" t="s">
        <v>16</v>
      </c>
    </row>
    <row r="440" spans="1:11" x14ac:dyDescent="0.3">
      <c r="A440">
        <v>1439</v>
      </c>
      <c r="B440" t="s">
        <v>35</v>
      </c>
      <c r="C440" t="s">
        <v>18</v>
      </c>
      <c r="D440">
        <v>34</v>
      </c>
      <c r="E440" t="s">
        <v>13</v>
      </c>
      <c r="F440" t="s">
        <v>14</v>
      </c>
      <c r="G440" s="3">
        <v>111099</v>
      </c>
      <c r="H440">
        <v>29</v>
      </c>
      <c r="I440" s="1">
        <v>44653</v>
      </c>
      <c r="J440" t="s">
        <v>29</v>
      </c>
      <c r="K440" t="s">
        <v>16</v>
      </c>
    </row>
    <row r="441" spans="1:11" x14ac:dyDescent="0.3">
      <c r="A441">
        <v>1440</v>
      </c>
      <c r="B441" t="s">
        <v>76</v>
      </c>
      <c r="C441" t="s">
        <v>12</v>
      </c>
      <c r="D441">
        <v>37</v>
      </c>
      <c r="E441" t="s">
        <v>19</v>
      </c>
      <c r="F441" t="s">
        <v>20</v>
      </c>
      <c r="G441" s="3">
        <v>110854</v>
      </c>
      <c r="H441">
        <v>0</v>
      </c>
      <c r="I441" s="1">
        <v>43870</v>
      </c>
      <c r="J441" t="s">
        <v>29</v>
      </c>
      <c r="K441" t="s">
        <v>22</v>
      </c>
    </row>
    <row r="442" spans="1:11" x14ac:dyDescent="0.3">
      <c r="A442">
        <v>1441</v>
      </c>
      <c r="B442" t="s">
        <v>75</v>
      </c>
      <c r="C442" t="s">
        <v>18</v>
      </c>
      <c r="D442">
        <v>55</v>
      </c>
      <c r="E442" t="s">
        <v>27</v>
      </c>
      <c r="F442" t="s">
        <v>28</v>
      </c>
      <c r="G442" s="3">
        <v>27014</v>
      </c>
      <c r="H442">
        <v>23</v>
      </c>
      <c r="I442" s="1">
        <v>43514</v>
      </c>
      <c r="J442" t="s">
        <v>31</v>
      </c>
      <c r="K442" t="s">
        <v>22</v>
      </c>
    </row>
    <row r="443" spans="1:11" x14ac:dyDescent="0.3">
      <c r="A443">
        <v>1442</v>
      </c>
      <c r="B443" t="s">
        <v>73</v>
      </c>
      <c r="C443" t="s">
        <v>18</v>
      </c>
      <c r="D443">
        <v>51</v>
      </c>
      <c r="E443" t="s">
        <v>27</v>
      </c>
      <c r="F443" t="s">
        <v>28</v>
      </c>
      <c r="G443" s="3">
        <v>77947</v>
      </c>
      <c r="H443">
        <v>18</v>
      </c>
      <c r="I443" s="1">
        <v>43226</v>
      </c>
      <c r="J443" t="s">
        <v>42</v>
      </c>
      <c r="K443" t="s">
        <v>16</v>
      </c>
    </row>
    <row r="444" spans="1:11" x14ac:dyDescent="0.3">
      <c r="A444">
        <v>1443</v>
      </c>
      <c r="B444" t="s">
        <v>83</v>
      </c>
      <c r="C444" t="s">
        <v>12</v>
      </c>
      <c r="D444">
        <v>43</v>
      </c>
      <c r="E444" t="s">
        <v>19</v>
      </c>
      <c r="F444" t="s">
        <v>20</v>
      </c>
      <c r="G444" s="3">
        <v>40336</v>
      </c>
      <c r="H444">
        <v>25</v>
      </c>
      <c r="I444" s="1">
        <v>44831</v>
      </c>
      <c r="J444" t="s">
        <v>29</v>
      </c>
      <c r="K444" t="s">
        <v>22</v>
      </c>
    </row>
    <row r="445" spans="1:11" x14ac:dyDescent="0.3">
      <c r="A445">
        <v>1444</v>
      </c>
      <c r="B445" t="s">
        <v>70</v>
      </c>
      <c r="C445" t="s">
        <v>12</v>
      </c>
      <c r="D445">
        <v>37</v>
      </c>
      <c r="E445" t="s">
        <v>13</v>
      </c>
      <c r="F445" t="s">
        <v>14</v>
      </c>
      <c r="G445" s="3">
        <v>69520</v>
      </c>
      <c r="H445">
        <v>30</v>
      </c>
      <c r="I445" s="1">
        <v>45976</v>
      </c>
      <c r="J445" t="s">
        <v>15</v>
      </c>
      <c r="K445" t="s">
        <v>16</v>
      </c>
    </row>
    <row r="446" spans="1:11" x14ac:dyDescent="0.3">
      <c r="A446">
        <v>1445</v>
      </c>
      <c r="B446" t="s">
        <v>63</v>
      </c>
      <c r="C446" t="s">
        <v>18</v>
      </c>
      <c r="D446">
        <v>46</v>
      </c>
      <c r="E446" t="s">
        <v>45</v>
      </c>
      <c r="F446" t="s">
        <v>46</v>
      </c>
      <c r="G446" s="3">
        <v>108055</v>
      </c>
      <c r="H446">
        <v>25</v>
      </c>
      <c r="I446" s="1">
        <v>44523</v>
      </c>
      <c r="J446" t="s">
        <v>26</v>
      </c>
      <c r="K446" t="s">
        <v>22</v>
      </c>
    </row>
    <row r="447" spans="1:11" x14ac:dyDescent="0.3">
      <c r="A447">
        <v>1446</v>
      </c>
      <c r="B447" t="s">
        <v>125</v>
      </c>
      <c r="C447" t="s">
        <v>18</v>
      </c>
      <c r="D447">
        <v>38</v>
      </c>
      <c r="E447" t="s">
        <v>45</v>
      </c>
      <c r="F447" t="s">
        <v>46</v>
      </c>
      <c r="G447" s="3">
        <v>57539</v>
      </c>
      <c r="H447">
        <v>9</v>
      </c>
      <c r="I447" s="1">
        <v>43668</v>
      </c>
      <c r="J447" t="s">
        <v>21</v>
      </c>
      <c r="K447" t="s">
        <v>22</v>
      </c>
    </row>
    <row r="448" spans="1:11" x14ac:dyDescent="0.3">
      <c r="A448">
        <v>1447</v>
      </c>
      <c r="B448" t="s">
        <v>62</v>
      </c>
      <c r="C448" t="s">
        <v>12</v>
      </c>
      <c r="D448">
        <v>42</v>
      </c>
      <c r="E448" t="s">
        <v>51</v>
      </c>
      <c r="F448" t="s">
        <v>52</v>
      </c>
      <c r="G448" s="3">
        <v>71338</v>
      </c>
      <c r="H448">
        <v>6</v>
      </c>
      <c r="I448" s="1">
        <v>44644</v>
      </c>
      <c r="J448" t="s">
        <v>21</v>
      </c>
      <c r="K448" t="s">
        <v>16</v>
      </c>
    </row>
    <row r="449" spans="1:11" x14ac:dyDescent="0.3">
      <c r="A449">
        <v>1448</v>
      </c>
      <c r="B449" t="s">
        <v>99</v>
      </c>
      <c r="C449" t="s">
        <v>18</v>
      </c>
      <c r="D449">
        <v>38</v>
      </c>
      <c r="E449" t="s">
        <v>45</v>
      </c>
      <c r="F449" t="s">
        <v>46</v>
      </c>
      <c r="G449" s="3">
        <v>52102</v>
      </c>
      <c r="H449">
        <v>7</v>
      </c>
      <c r="I449" s="1">
        <v>44313</v>
      </c>
      <c r="J449" t="s">
        <v>15</v>
      </c>
      <c r="K449" t="s">
        <v>22</v>
      </c>
    </row>
    <row r="450" spans="1:11" x14ac:dyDescent="0.3">
      <c r="A450">
        <v>1449</v>
      </c>
      <c r="B450" t="s">
        <v>11</v>
      </c>
      <c r="C450" t="s">
        <v>18</v>
      </c>
      <c r="D450">
        <v>53</v>
      </c>
      <c r="E450" t="s">
        <v>24</v>
      </c>
      <c r="F450" t="s">
        <v>25</v>
      </c>
      <c r="G450" s="3">
        <v>105455</v>
      </c>
      <c r="H450">
        <v>0</v>
      </c>
      <c r="I450" s="1">
        <v>43324</v>
      </c>
      <c r="J450" t="s">
        <v>15</v>
      </c>
      <c r="K450" t="s">
        <v>22</v>
      </c>
    </row>
    <row r="451" spans="1:11" x14ac:dyDescent="0.3">
      <c r="A451">
        <v>1450</v>
      </c>
      <c r="B451" t="s">
        <v>69</v>
      </c>
      <c r="C451" t="s">
        <v>12</v>
      </c>
      <c r="D451">
        <v>33</v>
      </c>
      <c r="E451" t="s">
        <v>45</v>
      </c>
      <c r="F451" t="s">
        <v>46</v>
      </c>
      <c r="G451" s="3">
        <v>91995</v>
      </c>
      <c r="H451">
        <v>8</v>
      </c>
      <c r="I451" s="1">
        <v>45407</v>
      </c>
      <c r="J451" t="s">
        <v>15</v>
      </c>
      <c r="K451" t="s">
        <v>16</v>
      </c>
    </row>
    <row r="452" spans="1:11" x14ac:dyDescent="0.3">
      <c r="A452">
        <v>1451</v>
      </c>
      <c r="B452" t="s">
        <v>44</v>
      </c>
      <c r="C452" t="s">
        <v>12</v>
      </c>
      <c r="D452">
        <v>24</v>
      </c>
      <c r="E452" t="s">
        <v>51</v>
      </c>
      <c r="F452" t="s">
        <v>52</v>
      </c>
      <c r="G452" s="3">
        <v>90860</v>
      </c>
      <c r="H452">
        <v>11</v>
      </c>
      <c r="I452" s="1">
        <v>45621</v>
      </c>
      <c r="J452" t="s">
        <v>26</v>
      </c>
      <c r="K452" t="s">
        <v>22</v>
      </c>
    </row>
    <row r="453" spans="1:11" x14ac:dyDescent="0.3">
      <c r="A453">
        <v>1452</v>
      </c>
      <c r="B453" t="s">
        <v>44</v>
      </c>
      <c r="C453" t="s">
        <v>12</v>
      </c>
      <c r="D453">
        <v>22</v>
      </c>
      <c r="E453" t="s">
        <v>51</v>
      </c>
      <c r="F453" t="s">
        <v>52</v>
      </c>
      <c r="G453" s="3">
        <v>26549</v>
      </c>
      <c r="H453">
        <v>21</v>
      </c>
      <c r="I453" s="1">
        <v>44396</v>
      </c>
      <c r="J453" t="s">
        <v>37</v>
      </c>
      <c r="K453" t="s">
        <v>22</v>
      </c>
    </row>
    <row r="454" spans="1:11" x14ac:dyDescent="0.3">
      <c r="A454">
        <v>1453</v>
      </c>
      <c r="B454" t="s">
        <v>95</v>
      </c>
      <c r="C454" t="s">
        <v>18</v>
      </c>
      <c r="D454">
        <v>38</v>
      </c>
      <c r="E454" t="s">
        <v>27</v>
      </c>
      <c r="F454" t="s">
        <v>28</v>
      </c>
      <c r="G454" s="3">
        <v>56082</v>
      </c>
      <c r="H454">
        <v>8</v>
      </c>
      <c r="I454" s="1">
        <v>45941</v>
      </c>
      <c r="J454" t="s">
        <v>31</v>
      </c>
      <c r="K454" t="s">
        <v>16</v>
      </c>
    </row>
    <row r="455" spans="1:11" x14ac:dyDescent="0.3">
      <c r="A455">
        <v>1454</v>
      </c>
      <c r="B455" t="s">
        <v>72</v>
      </c>
      <c r="C455" t="s">
        <v>12</v>
      </c>
      <c r="D455">
        <v>45</v>
      </c>
      <c r="E455" t="s">
        <v>45</v>
      </c>
      <c r="F455" t="s">
        <v>46</v>
      </c>
      <c r="G455" s="3">
        <v>72851</v>
      </c>
      <c r="H455">
        <v>27</v>
      </c>
      <c r="I455" s="1">
        <v>45427</v>
      </c>
      <c r="J455" t="s">
        <v>26</v>
      </c>
      <c r="K455" t="s">
        <v>16</v>
      </c>
    </row>
    <row r="456" spans="1:11" x14ac:dyDescent="0.3">
      <c r="A456">
        <v>1455</v>
      </c>
      <c r="B456" t="s">
        <v>47</v>
      </c>
      <c r="C456" t="s">
        <v>12</v>
      </c>
      <c r="D456">
        <v>37</v>
      </c>
      <c r="E456" t="s">
        <v>19</v>
      </c>
      <c r="F456" t="s">
        <v>20</v>
      </c>
      <c r="G456" s="3">
        <v>97789</v>
      </c>
      <c r="H456">
        <v>13</v>
      </c>
      <c r="I456" s="1">
        <v>45387</v>
      </c>
      <c r="J456" t="s">
        <v>29</v>
      </c>
      <c r="K456" t="s">
        <v>16</v>
      </c>
    </row>
    <row r="457" spans="1:11" x14ac:dyDescent="0.3">
      <c r="A457">
        <v>1456</v>
      </c>
      <c r="B457" t="s">
        <v>124</v>
      </c>
      <c r="C457" t="s">
        <v>12</v>
      </c>
      <c r="D457">
        <v>53</v>
      </c>
      <c r="E457" t="s">
        <v>45</v>
      </c>
      <c r="F457" t="s">
        <v>46</v>
      </c>
      <c r="G457" s="3">
        <v>42625</v>
      </c>
      <c r="H457">
        <v>28</v>
      </c>
      <c r="I457" s="1">
        <v>45148</v>
      </c>
      <c r="J457" t="s">
        <v>31</v>
      </c>
      <c r="K457" t="s">
        <v>16</v>
      </c>
    </row>
    <row r="458" spans="1:11" x14ac:dyDescent="0.3">
      <c r="A458">
        <v>1457</v>
      </c>
      <c r="B458" t="s">
        <v>88</v>
      </c>
      <c r="C458" t="s">
        <v>18</v>
      </c>
      <c r="D458">
        <v>35</v>
      </c>
      <c r="E458" t="s">
        <v>45</v>
      </c>
      <c r="F458" t="s">
        <v>46</v>
      </c>
      <c r="G458" s="3">
        <v>58330</v>
      </c>
      <c r="H458">
        <v>15</v>
      </c>
      <c r="I458" s="1">
        <v>43701</v>
      </c>
      <c r="J458" t="s">
        <v>31</v>
      </c>
      <c r="K458" t="s">
        <v>22</v>
      </c>
    </row>
    <row r="459" spans="1:11" x14ac:dyDescent="0.3">
      <c r="A459">
        <v>1458</v>
      </c>
      <c r="B459" t="s">
        <v>125</v>
      </c>
      <c r="C459" t="s">
        <v>12</v>
      </c>
      <c r="D459">
        <v>44</v>
      </c>
      <c r="E459" t="s">
        <v>27</v>
      </c>
      <c r="F459" t="s">
        <v>28</v>
      </c>
      <c r="G459" s="3">
        <v>27599</v>
      </c>
      <c r="H459">
        <v>13</v>
      </c>
      <c r="I459" s="1">
        <v>43644</v>
      </c>
      <c r="J459" t="s">
        <v>21</v>
      </c>
      <c r="K459" t="s">
        <v>16</v>
      </c>
    </row>
    <row r="460" spans="1:11" x14ac:dyDescent="0.3">
      <c r="A460">
        <v>1459</v>
      </c>
      <c r="B460" t="s">
        <v>56</v>
      </c>
      <c r="C460" t="s">
        <v>18</v>
      </c>
      <c r="D460">
        <v>40</v>
      </c>
      <c r="E460" t="s">
        <v>19</v>
      </c>
      <c r="F460" t="s">
        <v>20</v>
      </c>
      <c r="G460" s="3">
        <v>71544</v>
      </c>
      <c r="H460">
        <v>10</v>
      </c>
      <c r="I460" s="1">
        <v>46006</v>
      </c>
      <c r="J460" t="s">
        <v>37</v>
      </c>
      <c r="K460" t="s">
        <v>22</v>
      </c>
    </row>
    <row r="461" spans="1:11" x14ac:dyDescent="0.3">
      <c r="A461">
        <v>1460</v>
      </c>
      <c r="B461" t="s">
        <v>57</v>
      </c>
      <c r="C461" t="s">
        <v>18</v>
      </c>
      <c r="D461">
        <v>32</v>
      </c>
      <c r="E461" t="s">
        <v>19</v>
      </c>
      <c r="F461" t="s">
        <v>20</v>
      </c>
      <c r="G461" s="3">
        <v>108962</v>
      </c>
      <c r="H461">
        <v>25</v>
      </c>
      <c r="I461" s="1">
        <v>45128</v>
      </c>
      <c r="J461" t="s">
        <v>15</v>
      </c>
      <c r="K461" t="s">
        <v>22</v>
      </c>
    </row>
    <row r="462" spans="1:11" x14ac:dyDescent="0.3">
      <c r="A462">
        <v>1461</v>
      </c>
      <c r="B462" t="s">
        <v>109</v>
      </c>
      <c r="C462" t="s">
        <v>12</v>
      </c>
      <c r="D462">
        <v>36</v>
      </c>
      <c r="E462" t="s">
        <v>51</v>
      </c>
      <c r="F462" t="s">
        <v>52</v>
      </c>
      <c r="G462" s="3">
        <v>66088</v>
      </c>
      <c r="H462">
        <v>10</v>
      </c>
      <c r="I462" s="1">
        <v>44904</v>
      </c>
      <c r="J462" t="s">
        <v>15</v>
      </c>
      <c r="K462" t="s">
        <v>22</v>
      </c>
    </row>
    <row r="463" spans="1:11" x14ac:dyDescent="0.3">
      <c r="A463">
        <v>1462</v>
      </c>
      <c r="B463" t="s">
        <v>54</v>
      </c>
      <c r="C463" t="s">
        <v>12</v>
      </c>
      <c r="D463">
        <v>48</v>
      </c>
      <c r="E463" t="s">
        <v>27</v>
      </c>
      <c r="F463" t="s">
        <v>28</v>
      </c>
      <c r="G463" s="3">
        <v>46930</v>
      </c>
      <c r="H463">
        <v>5</v>
      </c>
      <c r="I463" s="1">
        <v>43183</v>
      </c>
      <c r="J463" t="s">
        <v>26</v>
      </c>
      <c r="K463" t="s">
        <v>22</v>
      </c>
    </row>
    <row r="464" spans="1:11" x14ac:dyDescent="0.3">
      <c r="A464">
        <v>1463</v>
      </c>
      <c r="B464" t="s">
        <v>109</v>
      </c>
      <c r="C464" t="s">
        <v>18</v>
      </c>
      <c r="D464">
        <v>47</v>
      </c>
      <c r="E464" t="s">
        <v>13</v>
      </c>
      <c r="F464" t="s">
        <v>14</v>
      </c>
      <c r="G464" s="3">
        <v>38501</v>
      </c>
      <c r="H464">
        <v>3</v>
      </c>
      <c r="I464" s="1">
        <v>43695</v>
      </c>
      <c r="J464" t="s">
        <v>37</v>
      </c>
      <c r="K464" t="s">
        <v>16</v>
      </c>
    </row>
    <row r="465" spans="1:11" x14ac:dyDescent="0.3">
      <c r="A465">
        <v>1464</v>
      </c>
      <c r="B465" t="s">
        <v>40</v>
      </c>
      <c r="C465" t="s">
        <v>18</v>
      </c>
      <c r="D465">
        <v>38</v>
      </c>
      <c r="E465" t="s">
        <v>45</v>
      </c>
      <c r="F465" t="s">
        <v>46</v>
      </c>
      <c r="G465" s="3">
        <v>106015</v>
      </c>
      <c r="H465">
        <v>4</v>
      </c>
      <c r="I465" s="1">
        <v>43782</v>
      </c>
      <c r="J465" t="s">
        <v>31</v>
      </c>
      <c r="K465" t="s">
        <v>16</v>
      </c>
    </row>
    <row r="466" spans="1:11" x14ac:dyDescent="0.3">
      <c r="A466">
        <v>1465</v>
      </c>
      <c r="B466" t="s">
        <v>57</v>
      </c>
      <c r="C466" t="s">
        <v>18</v>
      </c>
      <c r="D466">
        <v>30</v>
      </c>
      <c r="E466" t="s">
        <v>24</v>
      </c>
      <c r="F466" t="s">
        <v>25</v>
      </c>
      <c r="G466" s="3">
        <v>94041</v>
      </c>
      <c r="H466">
        <v>26</v>
      </c>
      <c r="I466" s="1">
        <v>43832</v>
      </c>
      <c r="J466" t="s">
        <v>21</v>
      </c>
      <c r="K466" t="s">
        <v>22</v>
      </c>
    </row>
    <row r="467" spans="1:11" x14ac:dyDescent="0.3">
      <c r="A467">
        <v>1466</v>
      </c>
      <c r="B467" t="s">
        <v>35</v>
      </c>
      <c r="C467" t="s">
        <v>12</v>
      </c>
      <c r="D467">
        <v>50</v>
      </c>
      <c r="E467" t="s">
        <v>27</v>
      </c>
      <c r="F467" t="s">
        <v>28</v>
      </c>
      <c r="G467" s="3">
        <v>42709</v>
      </c>
      <c r="H467">
        <v>30</v>
      </c>
      <c r="I467" s="1">
        <v>44124</v>
      </c>
      <c r="J467" t="s">
        <v>42</v>
      </c>
      <c r="K467" t="s">
        <v>22</v>
      </c>
    </row>
    <row r="468" spans="1:11" x14ac:dyDescent="0.3">
      <c r="A468">
        <v>1467</v>
      </c>
      <c r="B468" t="s">
        <v>59</v>
      </c>
      <c r="C468" t="s">
        <v>12</v>
      </c>
      <c r="D468">
        <v>52</v>
      </c>
      <c r="E468" t="s">
        <v>19</v>
      </c>
      <c r="F468" t="s">
        <v>20</v>
      </c>
      <c r="G468" s="3">
        <v>95735</v>
      </c>
      <c r="H468">
        <v>7</v>
      </c>
      <c r="I468" s="1">
        <v>43687</v>
      </c>
      <c r="J468" t="s">
        <v>31</v>
      </c>
      <c r="K468" t="s">
        <v>22</v>
      </c>
    </row>
    <row r="469" spans="1:11" x14ac:dyDescent="0.3">
      <c r="A469">
        <v>1468</v>
      </c>
      <c r="B469" t="s">
        <v>111</v>
      </c>
      <c r="C469" t="s">
        <v>18</v>
      </c>
      <c r="D469">
        <v>22</v>
      </c>
      <c r="E469" t="s">
        <v>27</v>
      </c>
      <c r="F469" t="s">
        <v>28</v>
      </c>
      <c r="G469" s="3">
        <v>93592</v>
      </c>
      <c r="H469">
        <v>26</v>
      </c>
      <c r="I469" s="1">
        <v>43992</v>
      </c>
      <c r="J469" t="s">
        <v>42</v>
      </c>
      <c r="K469" t="s">
        <v>16</v>
      </c>
    </row>
    <row r="470" spans="1:11" x14ac:dyDescent="0.3">
      <c r="A470">
        <v>1469</v>
      </c>
      <c r="B470" t="s">
        <v>35</v>
      </c>
      <c r="C470" t="s">
        <v>12</v>
      </c>
      <c r="D470">
        <v>22</v>
      </c>
      <c r="E470" t="s">
        <v>13</v>
      </c>
      <c r="F470" t="s">
        <v>14</v>
      </c>
      <c r="G470" s="3">
        <v>81418</v>
      </c>
      <c r="H470">
        <v>25</v>
      </c>
      <c r="I470" s="1">
        <v>44842</v>
      </c>
      <c r="J470" t="s">
        <v>29</v>
      </c>
      <c r="K470" t="s">
        <v>16</v>
      </c>
    </row>
    <row r="471" spans="1:11" x14ac:dyDescent="0.3">
      <c r="A471">
        <v>1470</v>
      </c>
      <c r="B471" t="s">
        <v>32</v>
      </c>
      <c r="C471" t="s">
        <v>12</v>
      </c>
      <c r="D471">
        <v>49</v>
      </c>
      <c r="E471" t="s">
        <v>19</v>
      </c>
      <c r="F471" t="s">
        <v>20</v>
      </c>
      <c r="G471" s="3">
        <v>76740</v>
      </c>
      <c r="H471">
        <v>7</v>
      </c>
      <c r="I471" s="1">
        <v>44189</v>
      </c>
      <c r="J471" t="s">
        <v>21</v>
      </c>
      <c r="K471" t="s">
        <v>22</v>
      </c>
    </row>
    <row r="472" spans="1:11" x14ac:dyDescent="0.3">
      <c r="A472">
        <v>1471</v>
      </c>
      <c r="B472" t="s">
        <v>71</v>
      </c>
      <c r="C472" t="s">
        <v>18</v>
      </c>
      <c r="D472">
        <v>49</v>
      </c>
      <c r="E472" t="s">
        <v>45</v>
      </c>
      <c r="F472" t="s">
        <v>46</v>
      </c>
      <c r="G472" s="3">
        <v>106962</v>
      </c>
      <c r="H472">
        <v>7</v>
      </c>
      <c r="I472" s="1">
        <v>44702</v>
      </c>
      <c r="J472" t="s">
        <v>21</v>
      </c>
      <c r="K472" t="s">
        <v>22</v>
      </c>
    </row>
    <row r="473" spans="1:11" x14ac:dyDescent="0.3">
      <c r="A473">
        <v>1472</v>
      </c>
      <c r="B473" t="s">
        <v>30</v>
      </c>
      <c r="C473" t="s">
        <v>18</v>
      </c>
      <c r="D473">
        <v>30</v>
      </c>
      <c r="E473" t="s">
        <v>45</v>
      </c>
      <c r="F473" t="s">
        <v>46</v>
      </c>
      <c r="G473" s="3">
        <v>62957</v>
      </c>
      <c r="H473">
        <v>3</v>
      </c>
      <c r="I473" s="1">
        <v>45945</v>
      </c>
      <c r="J473" t="s">
        <v>31</v>
      </c>
      <c r="K473" t="s">
        <v>22</v>
      </c>
    </row>
    <row r="474" spans="1:11" x14ac:dyDescent="0.3">
      <c r="A474">
        <v>1473</v>
      </c>
      <c r="B474" t="s">
        <v>34</v>
      </c>
      <c r="C474" t="s">
        <v>18</v>
      </c>
      <c r="D474">
        <v>25</v>
      </c>
      <c r="E474" t="s">
        <v>24</v>
      </c>
      <c r="F474" t="s">
        <v>25</v>
      </c>
      <c r="G474" s="3">
        <v>95119</v>
      </c>
      <c r="H474">
        <v>0</v>
      </c>
      <c r="I474" s="1">
        <v>43871</v>
      </c>
      <c r="J474" t="s">
        <v>31</v>
      </c>
      <c r="K474" t="s">
        <v>16</v>
      </c>
    </row>
    <row r="475" spans="1:11" x14ac:dyDescent="0.3">
      <c r="A475">
        <v>1474</v>
      </c>
      <c r="B475" t="s">
        <v>87</v>
      </c>
      <c r="C475" t="s">
        <v>18</v>
      </c>
      <c r="D475">
        <v>27</v>
      </c>
      <c r="E475" t="s">
        <v>13</v>
      </c>
      <c r="F475" t="s">
        <v>14</v>
      </c>
      <c r="G475" s="3">
        <v>44750</v>
      </c>
      <c r="H475">
        <v>0</v>
      </c>
      <c r="I475" s="1">
        <v>45758</v>
      </c>
      <c r="J475" t="s">
        <v>42</v>
      </c>
      <c r="K475" t="s">
        <v>22</v>
      </c>
    </row>
    <row r="476" spans="1:11" x14ac:dyDescent="0.3">
      <c r="A476">
        <v>1475</v>
      </c>
      <c r="B476" t="s">
        <v>120</v>
      </c>
      <c r="C476" t="s">
        <v>18</v>
      </c>
      <c r="D476">
        <v>43</v>
      </c>
      <c r="E476" t="s">
        <v>45</v>
      </c>
      <c r="F476" t="s">
        <v>46</v>
      </c>
      <c r="G476" s="3">
        <v>35515</v>
      </c>
      <c r="H476">
        <v>26</v>
      </c>
      <c r="I476" s="1">
        <v>43839</v>
      </c>
      <c r="J476" t="s">
        <v>29</v>
      </c>
      <c r="K476" t="s">
        <v>22</v>
      </c>
    </row>
    <row r="477" spans="1:11" x14ac:dyDescent="0.3">
      <c r="A477">
        <v>1476</v>
      </c>
      <c r="B477" t="s">
        <v>92</v>
      </c>
      <c r="C477" t="s">
        <v>18</v>
      </c>
      <c r="D477">
        <v>34</v>
      </c>
      <c r="E477" t="s">
        <v>51</v>
      </c>
      <c r="F477" t="s">
        <v>52</v>
      </c>
      <c r="G477" s="3">
        <v>57778</v>
      </c>
      <c r="H477">
        <v>26</v>
      </c>
      <c r="I477" s="1">
        <v>45295</v>
      </c>
      <c r="J477" t="s">
        <v>29</v>
      </c>
      <c r="K477" t="s">
        <v>16</v>
      </c>
    </row>
    <row r="478" spans="1:11" x14ac:dyDescent="0.3">
      <c r="A478">
        <v>1477</v>
      </c>
      <c r="B478" t="s">
        <v>79</v>
      </c>
      <c r="C478" t="s">
        <v>18</v>
      </c>
      <c r="D478">
        <v>34</v>
      </c>
      <c r="E478" t="s">
        <v>45</v>
      </c>
      <c r="F478" t="s">
        <v>46</v>
      </c>
      <c r="G478" s="3">
        <v>85402</v>
      </c>
      <c r="H478">
        <v>23</v>
      </c>
      <c r="I478" s="1">
        <v>43730</v>
      </c>
      <c r="J478" t="s">
        <v>26</v>
      </c>
      <c r="K478" t="s">
        <v>22</v>
      </c>
    </row>
    <row r="479" spans="1:11" x14ac:dyDescent="0.3">
      <c r="A479">
        <v>1478</v>
      </c>
      <c r="B479" t="s">
        <v>94</v>
      </c>
      <c r="C479" t="s">
        <v>18</v>
      </c>
      <c r="D479">
        <v>24</v>
      </c>
      <c r="E479" t="s">
        <v>45</v>
      </c>
      <c r="F479" t="s">
        <v>46</v>
      </c>
      <c r="G479" s="3">
        <v>97034</v>
      </c>
      <c r="H479">
        <v>16</v>
      </c>
      <c r="I479" s="1">
        <v>43601</v>
      </c>
      <c r="J479" t="s">
        <v>21</v>
      </c>
      <c r="K479" t="s">
        <v>22</v>
      </c>
    </row>
    <row r="480" spans="1:11" x14ac:dyDescent="0.3">
      <c r="A480">
        <v>1479</v>
      </c>
      <c r="B480" t="s">
        <v>58</v>
      </c>
      <c r="C480" t="s">
        <v>18</v>
      </c>
      <c r="D480">
        <v>29</v>
      </c>
      <c r="E480" t="s">
        <v>24</v>
      </c>
      <c r="F480" t="s">
        <v>25</v>
      </c>
      <c r="G480" s="3">
        <v>55928</v>
      </c>
      <c r="H480">
        <v>20</v>
      </c>
      <c r="I480" s="1">
        <v>45444</v>
      </c>
      <c r="J480" t="s">
        <v>26</v>
      </c>
      <c r="K480" t="s">
        <v>22</v>
      </c>
    </row>
    <row r="481" spans="1:11" x14ac:dyDescent="0.3">
      <c r="A481">
        <v>1480</v>
      </c>
      <c r="B481" t="s">
        <v>97</v>
      </c>
      <c r="C481" t="s">
        <v>18</v>
      </c>
      <c r="D481">
        <v>22</v>
      </c>
      <c r="E481" t="s">
        <v>19</v>
      </c>
      <c r="F481" t="s">
        <v>20</v>
      </c>
      <c r="G481" s="3">
        <v>30504</v>
      </c>
      <c r="H481">
        <v>18</v>
      </c>
      <c r="I481" s="1">
        <v>46011</v>
      </c>
      <c r="J481" t="s">
        <v>26</v>
      </c>
      <c r="K481" t="s">
        <v>22</v>
      </c>
    </row>
    <row r="482" spans="1:11" x14ac:dyDescent="0.3">
      <c r="A482">
        <v>1481</v>
      </c>
      <c r="B482" t="s">
        <v>108</v>
      </c>
      <c r="C482" t="s">
        <v>12</v>
      </c>
      <c r="D482">
        <v>27</v>
      </c>
      <c r="E482" t="s">
        <v>51</v>
      </c>
      <c r="F482" t="s">
        <v>52</v>
      </c>
      <c r="G482" s="3">
        <v>114908</v>
      </c>
      <c r="H482">
        <v>19</v>
      </c>
      <c r="I482" s="1">
        <v>45232</v>
      </c>
      <c r="J482" t="s">
        <v>37</v>
      </c>
      <c r="K482" t="s">
        <v>22</v>
      </c>
    </row>
    <row r="483" spans="1:11" x14ac:dyDescent="0.3">
      <c r="A483">
        <v>1482</v>
      </c>
      <c r="B483" t="s">
        <v>96</v>
      </c>
      <c r="C483" t="s">
        <v>18</v>
      </c>
      <c r="D483">
        <v>30</v>
      </c>
      <c r="E483" t="s">
        <v>13</v>
      </c>
      <c r="F483" t="s">
        <v>14</v>
      </c>
      <c r="G483" s="3">
        <v>88942</v>
      </c>
      <c r="H483">
        <v>7</v>
      </c>
      <c r="I483" s="1">
        <v>45195</v>
      </c>
      <c r="J483" t="s">
        <v>21</v>
      </c>
      <c r="K483" t="s">
        <v>22</v>
      </c>
    </row>
    <row r="484" spans="1:11" x14ac:dyDescent="0.3">
      <c r="A484">
        <v>1483</v>
      </c>
      <c r="B484" t="s">
        <v>30</v>
      </c>
      <c r="C484" t="s">
        <v>12</v>
      </c>
      <c r="D484">
        <v>44</v>
      </c>
      <c r="E484" t="s">
        <v>45</v>
      </c>
      <c r="F484" t="s">
        <v>46</v>
      </c>
      <c r="G484" s="3">
        <v>119948</v>
      </c>
      <c r="H484">
        <v>4</v>
      </c>
      <c r="I484" s="1">
        <v>44577</v>
      </c>
      <c r="J484" t="s">
        <v>21</v>
      </c>
      <c r="K484" t="s">
        <v>22</v>
      </c>
    </row>
    <row r="485" spans="1:11" x14ac:dyDescent="0.3">
      <c r="A485">
        <v>1484</v>
      </c>
      <c r="B485" t="s">
        <v>133</v>
      </c>
      <c r="C485" t="s">
        <v>12</v>
      </c>
      <c r="D485">
        <v>34</v>
      </c>
      <c r="E485" t="s">
        <v>19</v>
      </c>
      <c r="F485" t="s">
        <v>20</v>
      </c>
      <c r="G485" s="3">
        <v>99278</v>
      </c>
      <c r="H485">
        <v>5</v>
      </c>
      <c r="I485" s="1">
        <v>45101</v>
      </c>
      <c r="J485" t="s">
        <v>42</v>
      </c>
      <c r="K485" t="s">
        <v>22</v>
      </c>
    </row>
    <row r="486" spans="1:11" x14ac:dyDescent="0.3">
      <c r="A486">
        <v>1485</v>
      </c>
      <c r="B486" t="s">
        <v>62</v>
      </c>
      <c r="C486" t="s">
        <v>18</v>
      </c>
      <c r="D486">
        <v>55</v>
      </c>
      <c r="E486" t="s">
        <v>19</v>
      </c>
      <c r="F486" t="s">
        <v>20</v>
      </c>
      <c r="G486" s="3">
        <v>45319</v>
      </c>
      <c r="H486">
        <v>14</v>
      </c>
      <c r="I486" s="1">
        <v>44699</v>
      </c>
      <c r="J486" t="s">
        <v>31</v>
      </c>
      <c r="K486" t="s">
        <v>22</v>
      </c>
    </row>
    <row r="487" spans="1:11" x14ac:dyDescent="0.3">
      <c r="A487">
        <v>1486</v>
      </c>
      <c r="B487" t="s">
        <v>44</v>
      </c>
      <c r="C487" t="s">
        <v>18</v>
      </c>
      <c r="D487">
        <v>23</v>
      </c>
      <c r="E487" t="s">
        <v>51</v>
      </c>
      <c r="F487" t="s">
        <v>52</v>
      </c>
      <c r="G487" s="3">
        <v>106229</v>
      </c>
      <c r="H487">
        <v>27</v>
      </c>
      <c r="I487" s="1">
        <v>45207</v>
      </c>
      <c r="J487" t="s">
        <v>31</v>
      </c>
      <c r="K487" t="s">
        <v>16</v>
      </c>
    </row>
    <row r="488" spans="1:11" x14ac:dyDescent="0.3">
      <c r="A488">
        <v>1487</v>
      </c>
      <c r="B488" t="s">
        <v>92</v>
      </c>
      <c r="C488" t="s">
        <v>18</v>
      </c>
      <c r="D488">
        <v>55</v>
      </c>
      <c r="E488" t="s">
        <v>13</v>
      </c>
      <c r="F488" t="s">
        <v>14</v>
      </c>
      <c r="G488" s="3">
        <v>114551</v>
      </c>
      <c r="H488">
        <v>15</v>
      </c>
      <c r="I488" s="1">
        <v>44114</v>
      </c>
      <c r="J488" t="s">
        <v>31</v>
      </c>
      <c r="K488" t="s">
        <v>22</v>
      </c>
    </row>
    <row r="489" spans="1:11" x14ac:dyDescent="0.3">
      <c r="A489">
        <v>1488</v>
      </c>
      <c r="B489" t="s">
        <v>34</v>
      </c>
      <c r="C489" t="s">
        <v>18</v>
      </c>
      <c r="D489">
        <v>55</v>
      </c>
      <c r="E489" t="s">
        <v>13</v>
      </c>
      <c r="F489" t="s">
        <v>14</v>
      </c>
      <c r="G489" s="3">
        <v>111362</v>
      </c>
      <c r="H489">
        <v>2</v>
      </c>
      <c r="I489" s="1">
        <v>43165</v>
      </c>
      <c r="J489" t="s">
        <v>29</v>
      </c>
      <c r="K489" t="s">
        <v>16</v>
      </c>
    </row>
    <row r="490" spans="1:11" x14ac:dyDescent="0.3">
      <c r="A490">
        <v>1489</v>
      </c>
      <c r="B490" t="s">
        <v>97</v>
      </c>
      <c r="C490" t="s">
        <v>18</v>
      </c>
      <c r="D490">
        <v>28</v>
      </c>
      <c r="E490" t="s">
        <v>24</v>
      </c>
      <c r="F490" t="s">
        <v>25</v>
      </c>
      <c r="G490" s="3">
        <v>29170</v>
      </c>
      <c r="H490">
        <v>18</v>
      </c>
      <c r="I490" s="1">
        <v>45612</v>
      </c>
      <c r="J490" t="s">
        <v>15</v>
      </c>
      <c r="K490" t="s">
        <v>22</v>
      </c>
    </row>
    <row r="491" spans="1:11" x14ac:dyDescent="0.3">
      <c r="A491">
        <v>1490</v>
      </c>
      <c r="B491" t="s">
        <v>32</v>
      </c>
      <c r="C491" t="s">
        <v>18</v>
      </c>
      <c r="D491">
        <v>22</v>
      </c>
      <c r="E491" t="s">
        <v>51</v>
      </c>
      <c r="F491" t="s">
        <v>52</v>
      </c>
      <c r="G491" s="3">
        <v>52359</v>
      </c>
      <c r="H491">
        <v>20</v>
      </c>
      <c r="I491" s="1">
        <v>45703</v>
      </c>
      <c r="J491" t="s">
        <v>29</v>
      </c>
      <c r="K491" t="s">
        <v>16</v>
      </c>
    </row>
    <row r="492" spans="1:11" x14ac:dyDescent="0.3">
      <c r="A492">
        <v>1491</v>
      </c>
      <c r="B492" t="s">
        <v>92</v>
      </c>
      <c r="C492" t="s">
        <v>12</v>
      </c>
      <c r="D492">
        <v>25</v>
      </c>
      <c r="E492" t="s">
        <v>27</v>
      </c>
      <c r="F492" t="s">
        <v>28</v>
      </c>
      <c r="G492" s="3">
        <v>105862</v>
      </c>
      <c r="H492">
        <v>8</v>
      </c>
      <c r="I492" s="1">
        <v>43437</v>
      </c>
      <c r="J492" t="s">
        <v>29</v>
      </c>
      <c r="K492" t="s">
        <v>22</v>
      </c>
    </row>
    <row r="493" spans="1:11" x14ac:dyDescent="0.3">
      <c r="A493">
        <v>1492</v>
      </c>
      <c r="B493" t="s">
        <v>98</v>
      </c>
      <c r="C493" t="s">
        <v>18</v>
      </c>
      <c r="D493">
        <v>28</v>
      </c>
      <c r="E493" t="s">
        <v>51</v>
      </c>
      <c r="F493" t="s">
        <v>52</v>
      </c>
      <c r="G493" s="3">
        <v>55279</v>
      </c>
      <c r="H493">
        <v>17</v>
      </c>
      <c r="I493" s="1">
        <v>45389</v>
      </c>
      <c r="J493" t="s">
        <v>15</v>
      </c>
      <c r="K493" t="s">
        <v>16</v>
      </c>
    </row>
    <row r="494" spans="1:11" x14ac:dyDescent="0.3">
      <c r="A494">
        <v>1493</v>
      </c>
      <c r="B494" t="s">
        <v>33</v>
      </c>
      <c r="C494" t="s">
        <v>12</v>
      </c>
      <c r="D494">
        <v>28</v>
      </c>
      <c r="E494" t="s">
        <v>19</v>
      </c>
      <c r="F494" t="s">
        <v>20</v>
      </c>
      <c r="G494" s="3">
        <v>108705</v>
      </c>
      <c r="H494">
        <v>18</v>
      </c>
      <c r="I494" s="1">
        <v>45245</v>
      </c>
      <c r="J494" t="s">
        <v>21</v>
      </c>
      <c r="K494" t="s">
        <v>22</v>
      </c>
    </row>
    <row r="495" spans="1:11" x14ac:dyDescent="0.3">
      <c r="A495">
        <v>1494</v>
      </c>
      <c r="B495" t="s">
        <v>115</v>
      </c>
      <c r="C495" t="s">
        <v>12</v>
      </c>
      <c r="D495">
        <v>54</v>
      </c>
      <c r="E495" t="s">
        <v>51</v>
      </c>
      <c r="F495" t="s">
        <v>52</v>
      </c>
      <c r="G495" s="3">
        <v>69238</v>
      </c>
      <c r="H495">
        <v>21</v>
      </c>
      <c r="I495" s="1">
        <v>44094</v>
      </c>
      <c r="J495" t="s">
        <v>42</v>
      </c>
      <c r="K495" t="s">
        <v>22</v>
      </c>
    </row>
    <row r="496" spans="1:11" x14ac:dyDescent="0.3">
      <c r="A496">
        <v>1495</v>
      </c>
      <c r="B496" t="s">
        <v>59</v>
      </c>
      <c r="C496" t="s">
        <v>12</v>
      </c>
      <c r="D496">
        <v>48</v>
      </c>
      <c r="E496" t="s">
        <v>27</v>
      </c>
      <c r="F496" t="s">
        <v>28</v>
      </c>
      <c r="G496" s="3">
        <v>108000</v>
      </c>
      <c r="H496">
        <v>13</v>
      </c>
      <c r="I496" s="1">
        <v>45207</v>
      </c>
      <c r="J496" t="s">
        <v>15</v>
      </c>
      <c r="K496" t="s">
        <v>16</v>
      </c>
    </row>
    <row r="497" spans="1:11" x14ac:dyDescent="0.3">
      <c r="A497">
        <v>1496</v>
      </c>
      <c r="B497" t="s">
        <v>59</v>
      </c>
      <c r="C497" t="s">
        <v>12</v>
      </c>
      <c r="D497">
        <v>50</v>
      </c>
      <c r="E497" t="s">
        <v>45</v>
      </c>
      <c r="F497" t="s">
        <v>46</v>
      </c>
      <c r="G497" s="3">
        <v>83654</v>
      </c>
      <c r="H497">
        <v>30</v>
      </c>
      <c r="I497" s="1">
        <v>45315</v>
      </c>
      <c r="J497" t="s">
        <v>37</v>
      </c>
      <c r="K497" t="s">
        <v>22</v>
      </c>
    </row>
    <row r="498" spans="1:11" x14ac:dyDescent="0.3">
      <c r="A498">
        <v>1497</v>
      </c>
      <c r="B498" t="s">
        <v>81</v>
      </c>
      <c r="C498" t="s">
        <v>18</v>
      </c>
      <c r="D498">
        <v>41</v>
      </c>
      <c r="E498" t="s">
        <v>19</v>
      </c>
      <c r="F498" t="s">
        <v>20</v>
      </c>
      <c r="G498" s="3">
        <v>25860</v>
      </c>
      <c r="H498">
        <v>9</v>
      </c>
      <c r="I498" s="1">
        <v>44314</v>
      </c>
      <c r="J498" t="s">
        <v>31</v>
      </c>
      <c r="K498" t="s">
        <v>16</v>
      </c>
    </row>
    <row r="499" spans="1:11" x14ac:dyDescent="0.3">
      <c r="A499">
        <v>1498</v>
      </c>
      <c r="B499" t="s">
        <v>84</v>
      </c>
      <c r="C499" t="s">
        <v>18</v>
      </c>
      <c r="D499">
        <v>28</v>
      </c>
      <c r="E499" t="s">
        <v>13</v>
      </c>
      <c r="F499" t="s">
        <v>14</v>
      </c>
      <c r="G499" s="3">
        <v>29946</v>
      </c>
      <c r="H499">
        <v>14</v>
      </c>
      <c r="I499" s="1">
        <v>44990</v>
      </c>
      <c r="J499" t="s">
        <v>31</v>
      </c>
      <c r="K499" t="s">
        <v>22</v>
      </c>
    </row>
    <row r="500" spans="1:11" x14ac:dyDescent="0.3">
      <c r="A500">
        <v>1499</v>
      </c>
      <c r="B500" t="s">
        <v>108</v>
      </c>
      <c r="C500" t="s">
        <v>12</v>
      </c>
      <c r="D500">
        <v>41</v>
      </c>
      <c r="E500" t="s">
        <v>19</v>
      </c>
      <c r="F500" t="s">
        <v>20</v>
      </c>
      <c r="G500" s="3">
        <v>37046</v>
      </c>
      <c r="H500">
        <v>18</v>
      </c>
      <c r="I500" s="1">
        <v>45572</v>
      </c>
      <c r="J500" t="s">
        <v>21</v>
      </c>
      <c r="K500" t="s">
        <v>16</v>
      </c>
    </row>
    <row r="501" spans="1:11" x14ac:dyDescent="0.3">
      <c r="A501">
        <v>1500</v>
      </c>
      <c r="B501" t="s">
        <v>64</v>
      </c>
      <c r="C501" t="s">
        <v>18</v>
      </c>
      <c r="D501">
        <v>53</v>
      </c>
      <c r="E501" t="s">
        <v>13</v>
      </c>
      <c r="F501" t="s">
        <v>14</v>
      </c>
      <c r="G501" s="3">
        <v>115386</v>
      </c>
      <c r="H501">
        <v>22</v>
      </c>
      <c r="I501" s="1">
        <v>43759</v>
      </c>
      <c r="J501" t="s">
        <v>31</v>
      </c>
      <c r="K501" t="s">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BC58-8862-446B-A09C-274A87175D06}">
  <dimension ref="A5"/>
  <sheetViews>
    <sheetView zoomScale="85" zoomScaleNormal="85" workbookViewId="0"/>
  </sheetViews>
  <sheetFormatPr defaultRowHeight="14.4" x14ac:dyDescent="0.3"/>
  <sheetData>
    <row r="5" ht="13.8" customHeigh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CFA9-91B9-4E42-B58B-4C53937CD7AF}">
  <dimension ref="A5"/>
  <sheetViews>
    <sheetView zoomScale="92" zoomScaleNormal="85" workbookViewId="0">
      <selection activeCell="Y10" sqref="Y10"/>
    </sheetView>
  </sheetViews>
  <sheetFormatPr defaultRowHeight="14.4" x14ac:dyDescent="0.3"/>
  <sheetData>
    <row r="5"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Employee Details</vt:lpstr>
      <vt:lpstr>Salary Analysis</vt:lpstr>
      <vt:lpstr>Pivot Tables</vt:lpstr>
      <vt:lpstr>Data</vt:lpstr>
      <vt:lpstr>Department</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siddharth chaudhary</cp:lastModifiedBy>
  <dcterms:created xsi:type="dcterms:W3CDTF">2026-07-12T10:04:37Z</dcterms:created>
  <dcterms:modified xsi:type="dcterms:W3CDTF">2026-07-13T09:47:01Z</dcterms:modified>
</cp:coreProperties>
</file>